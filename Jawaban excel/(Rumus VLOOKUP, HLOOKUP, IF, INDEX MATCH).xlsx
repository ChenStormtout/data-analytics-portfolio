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D:\portfo\Jawaban excel\"/>
    </mc:Choice>
  </mc:AlternateContent>
  <xr:revisionPtr revIDLastSave="0" documentId="8_{EA26AD7C-240B-4AD7-8B03-B5EC86FCD28F}" xr6:coauthVersionLast="47" xr6:coauthVersionMax="47" xr10:uidLastSave="{00000000-0000-0000-0000-000000000000}"/>
  <bookViews>
    <workbookView xWindow="-108" yWindow="-108" windowWidth="23256" windowHeight="12456" xr2:uid="{00000000-000D-0000-FFFF-FFFF00000000}"/>
  </bookViews>
  <sheets>
    <sheet name="Soal"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2" l="1"/>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9" i="2"/>
  <c r="K10" i="2"/>
  <c r="K11" i="2"/>
  <c r="K12" i="2"/>
  <c r="L12" i="2" s="1"/>
  <c r="K13" i="2"/>
  <c r="L13" i="2" s="1"/>
  <c r="K14" i="2"/>
  <c r="L14" i="2" s="1"/>
  <c r="K15" i="2"/>
  <c r="L15" i="2" s="1"/>
  <c r="K16" i="2"/>
  <c r="K17" i="2"/>
  <c r="K18" i="2"/>
  <c r="K19" i="2"/>
  <c r="K20" i="2"/>
  <c r="L20" i="2" s="1"/>
  <c r="K21" i="2"/>
  <c r="L21" i="2" s="1"/>
  <c r="K22" i="2"/>
  <c r="L22" i="2" s="1"/>
  <c r="K23" i="2"/>
  <c r="L23" i="2" s="1"/>
  <c r="K24" i="2"/>
  <c r="L24" i="2" s="1"/>
  <c r="K25" i="2"/>
  <c r="L25" i="2" s="1"/>
  <c r="K26" i="2"/>
  <c r="K27" i="2"/>
  <c r="K28" i="2"/>
  <c r="L28" i="2" s="1"/>
  <c r="K29" i="2"/>
  <c r="L29" i="2" s="1"/>
  <c r="K30" i="2"/>
  <c r="K31" i="2"/>
  <c r="K32" i="2"/>
  <c r="K33" i="2"/>
  <c r="K34" i="2"/>
  <c r="K35" i="2"/>
  <c r="K36" i="2"/>
  <c r="K37" i="2"/>
  <c r="K38" i="2"/>
  <c r="L38" i="2" s="1"/>
  <c r="K9" i="2"/>
  <c r="L9" i="2" s="1"/>
  <c r="L10" i="2"/>
  <c r="L11" i="2"/>
  <c r="L16" i="2"/>
  <c r="L17" i="2"/>
  <c r="L18" i="2"/>
  <c r="L19" i="2"/>
  <c r="L26" i="2"/>
  <c r="L27" i="2"/>
  <c r="L30" i="2"/>
  <c r="L31" i="2"/>
  <c r="L32" i="2"/>
  <c r="L33" i="2"/>
  <c r="L34" i="2"/>
  <c r="L35" i="2"/>
  <c r="L36" i="2"/>
  <c r="L37"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9" i="2"/>
</calcChain>
</file>

<file path=xl/sharedStrings.xml><?xml version="1.0" encoding="utf-8"?>
<sst xmlns="http://schemas.openxmlformats.org/spreadsheetml/2006/main" count="151" uniqueCount="85">
  <si>
    <t>Kasus - Rekap Penjualan Distributor Minuman PT Ruyisha Sinar Distribusi</t>
  </si>
  <si>
    <t>Ilustrasi Soal:</t>
  </si>
  <si>
    <r>
      <rPr>
        <b/>
        <sz val="11"/>
        <color theme="1"/>
        <rFont val="Calibri"/>
        <charset val="134"/>
        <scheme val="minor"/>
      </rPr>
      <t>PT Ruyisha Sinar Distribusi</t>
    </r>
    <r>
      <rPr>
        <sz val="11"/>
        <color theme="1"/>
        <rFont val="Calibri"/>
        <charset val="134"/>
        <scheme val="minor"/>
      </rPr>
      <t xml:space="preserve"> merupakan perusahaan distributor minuman yang melayani pelanggan grosir di berbagai wilayah. Setiap transaksi dicatat menggunakan nomor faktur dan kode produk. Admin Penjualan bertugas melengkapi laporan transaksi bulanan untuk menghitung cashback, hadiah pelanggan, dan pendapatan bersih perusahaan.</t>
    </r>
  </si>
  <si>
    <t>DATA TRANSAKSI</t>
  </si>
  <si>
    <t>No</t>
  </si>
  <si>
    <t>No. Faktur</t>
  </si>
  <si>
    <t>Kode Pelanggan</t>
  </si>
  <si>
    <t>Nama Pelanggan</t>
  </si>
  <si>
    <t>Kode Produk</t>
  </si>
  <si>
    <t>Nama Produk</t>
  </si>
  <si>
    <t>Qty</t>
  </si>
  <si>
    <t>Harga Satuan</t>
  </si>
  <si>
    <t>Total Penjualan</t>
  </si>
  <si>
    <t>Cashback</t>
  </si>
  <si>
    <t>Hadiah</t>
  </si>
  <si>
    <t>Nilai Hadiah</t>
  </si>
  <si>
    <t>Pendapatan Bersih</t>
  </si>
  <si>
    <t>INSTRUKSI SOAL:</t>
  </si>
  <si>
    <t>INV-240401</t>
  </si>
  <si>
    <t>C-002</t>
  </si>
  <si>
    <t>M003</t>
  </si>
  <si>
    <t>TABEL PELANGGAN</t>
  </si>
  <si>
    <r>
      <rPr>
        <sz val="11"/>
        <color theme="1"/>
        <rFont val="Calibri"/>
        <charset val="134"/>
        <scheme val="minor"/>
      </rPr>
      <t xml:space="preserve">Isi </t>
    </r>
    <r>
      <rPr>
        <b/>
        <sz val="11"/>
        <color theme="1"/>
        <rFont val="Calibri"/>
        <charset val="134"/>
        <scheme val="minor"/>
      </rPr>
      <t>Nama Pelanggan</t>
    </r>
    <r>
      <rPr>
        <sz val="11"/>
        <color theme="1"/>
        <rFont val="Calibri"/>
        <charset val="134"/>
        <scheme val="minor"/>
      </rPr>
      <t xml:space="preserve"> di Tabel Transaksi berdasarkan Kode Pelanggan menggunakan fungsi HLOOKUP.</t>
    </r>
  </si>
  <si>
    <t>INV-240402</t>
  </si>
  <si>
    <t>C-001</t>
  </si>
  <si>
    <t>M001</t>
  </si>
  <si>
    <t>Kode</t>
  </si>
  <si>
    <t>C-003</t>
  </si>
  <si>
    <t>C-004</t>
  </si>
  <si>
    <r>
      <rPr>
        <sz val="11"/>
        <color theme="1"/>
        <rFont val="Calibri"/>
        <charset val="134"/>
        <scheme val="minor"/>
      </rPr>
      <t xml:space="preserve">Isi </t>
    </r>
    <r>
      <rPr>
        <b/>
        <sz val="11"/>
        <color theme="1"/>
        <rFont val="Calibri"/>
        <charset val="134"/>
        <scheme val="minor"/>
      </rPr>
      <t>Nama Produk</t>
    </r>
    <r>
      <rPr>
        <sz val="11"/>
        <color theme="1"/>
        <rFont val="Calibri"/>
        <charset val="134"/>
        <scheme val="minor"/>
      </rPr>
      <t xml:space="preserve"> dan </t>
    </r>
    <r>
      <rPr>
        <b/>
        <sz val="11"/>
        <color theme="1"/>
        <rFont val="Calibri"/>
        <charset val="134"/>
        <scheme val="minor"/>
      </rPr>
      <t>Harga Satuan</t>
    </r>
    <r>
      <rPr>
        <sz val="11"/>
        <color theme="1"/>
        <rFont val="Calibri"/>
        <charset val="134"/>
        <scheme val="minor"/>
      </rPr>
      <t xml:space="preserve"> berdasarkan Kode Produk menggunakan fungsi VLOOKUP.</t>
    </r>
  </si>
  <si>
    <t>INV-240403</t>
  </si>
  <si>
    <t>M005</t>
  </si>
  <si>
    <t>Nama</t>
  </si>
  <si>
    <t>Toko Andromeda</t>
  </si>
  <si>
    <t>Toko Orion</t>
  </si>
  <si>
    <t>Toko Vega</t>
  </si>
  <si>
    <t>Toko Sirius</t>
  </si>
  <si>
    <r>
      <rPr>
        <sz val="11"/>
        <color theme="1"/>
        <rFont val="Calibri"/>
        <charset val="134"/>
        <scheme val="minor"/>
      </rPr>
      <t xml:space="preserve">Hitung </t>
    </r>
    <r>
      <rPr>
        <b/>
        <sz val="11"/>
        <color theme="1"/>
        <rFont val="Calibri"/>
        <charset val="134"/>
        <scheme val="minor"/>
      </rPr>
      <t>Total Penjualan</t>
    </r>
    <r>
      <rPr>
        <sz val="11"/>
        <color theme="1"/>
        <rFont val="Calibri"/>
        <charset val="134"/>
        <scheme val="minor"/>
      </rPr>
      <t xml:space="preserve"> dengan rumus: Qty * Harga Satuan.</t>
    </r>
  </si>
  <si>
    <t>INV-240404</t>
  </si>
  <si>
    <t>M002</t>
  </si>
  <si>
    <r>
      <rPr>
        <sz val="11"/>
        <color theme="1"/>
        <rFont val="Calibri"/>
        <charset val="134"/>
        <scheme val="minor"/>
      </rPr>
      <t xml:space="preserve">Hitung </t>
    </r>
    <r>
      <rPr>
        <b/>
        <sz val="11"/>
        <color theme="1"/>
        <rFont val="Calibri"/>
        <charset val="134"/>
        <scheme val="minor"/>
      </rPr>
      <t>Cashback</t>
    </r>
    <r>
      <rPr>
        <sz val="11"/>
        <color theme="1"/>
        <rFont val="Calibri"/>
        <charset val="134"/>
        <scheme val="minor"/>
      </rPr>
      <t xml:space="preserve"> menggunakan fungsi VLOOKUP dengan metode </t>
    </r>
    <r>
      <rPr>
        <i/>
        <sz val="11"/>
        <color theme="1"/>
        <rFont val="Calibri"/>
        <charset val="134"/>
        <scheme val="minor"/>
      </rPr>
      <t>Approximate Match</t>
    </r>
    <r>
      <rPr>
        <sz val="11"/>
        <color theme="1"/>
        <rFont val="Calibri"/>
        <charset val="134"/>
        <scheme val="minor"/>
      </rPr>
      <t>.</t>
    </r>
  </si>
  <si>
    <t>INV-240405</t>
  </si>
  <si>
    <t>M004</t>
  </si>
  <si>
    <r>
      <rPr>
        <sz val="11"/>
        <color theme="1"/>
        <rFont val="Calibri"/>
        <charset val="134"/>
        <scheme val="minor"/>
      </rPr>
      <t xml:space="preserve">Tentukan </t>
    </r>
    <r>
      <rPr>
        <b/>
        <sz val="11"/>
        <color theme="1"/>
        <rFont val="Calibri"/>
        <charset val="134"/>
        <scheme val="minor"/>
      </rPr>
      <t>Hadiah</t>
    </r>
    <r>
      <rPr>
        <sz val="11"/>
        <color theme="1"/>
        <rFont val="Calibri"/>
        <charset val="134"/>
        <scheme val="minor"/>
      </rPr>
      <t xml:space="preserve"> menggunakan fungsi IF bertingkat (atau IFS) dengan ketentuan:
</t>
    </r>
    <r>
      <rPr>
        <sz val="11"/>
        <color theme="1"/>
        <rFont val="Calibri"/>
        <charset val="134"/>
        <scheme val="minor"/>
      </rPr>
      <t xml:space="preserve">● Jika QTY </t>
    </r>
    <r>
      <rPr>
        <sz val="11"/>
        <color theme="1"/>
        <rFont val="Calibri"/>
        <charset val="134"/>
        <scheme val="minor"/>
      </rPr>
      <t xml:space="preserve">1-10, maka mendapatkan </t>
    </r>
    <r>
      <rPr>
        <b/>
        <sz val="11"/>
        <color theme="1"/>
        <rFont val="Calibri"/>
        <charset val="134"/>
        <scheme val="minor"/>
      </rPr>
      <t>Payung Eksklusif</t>
    </r>
    <r>
      <rPr>
        <sz val="11"/>
        <color theme="1"/>
        <rFont val="Calibri"/>
        <charset val="134"/>
        <scheme val="minor"/>
      </rPr>
      <t xml:space="preserve">.
● Jika QTY 11-20, maka mendapatkan </t>
    </r>
    <r>
      <rPr>
        <b/>
        <sz val="11"/>
        <color theme="1"/>
        <rFont val="Calibri"/>
        <charset val="134"/>
        <scheme val="minor"/>
      </rPr>
      <t>Tumbler Premium</t>
    </r>
    <r>
      <rPr>
        <sz val="11"/>
        <color theme="1"/>
        <rFont val="Calibri"/>
        <charset val="134"/>
        <scheme val="minor"/>
      </rPr>
      <t xml:space="preserve">.
● Jika QTY lebih dari 20, maka mendapatkan </t>
    </r>
    <r>
      <rPr>
        <b/>
        <sz val="11"/>
        <color theme="1"/>
        <rFont val="Calibri"/>
        <charset val="134"/>
        <scheme val="minor"/>
      </rPr>
      <t>Speaker Mini</t>
    </r>
    <r>
      <rPr>
        <sz val="11"/>
        <color theme="1"/>
        <rFont val="Calibri"/>
        <charset val="134"/>
        <scheme val="minor"/>
      </rPr>
      <t>.</t>
    </r>
  </si>
  <si>
    <t>INV-240406</t>
  </si>
  <si>
    <t>TABEL PRODUK</t>
  </si>
  <si>
    <t>TABEL HADIAH</t>
  </si>
  <si>
    <t>INV-240407</t>
  </si>
  <si>
    <t>INV-240408</t>
  </si>
  <si>
    <t>Teh Botol Premium</t>
  </si>
  <si>
    <t>Payung Eksklusif</t>
  </si>
  <si>
    <t>INV-240409</t>
  </si>
  <si>
    <t>Air Mineral 600ml</t>
  </si>
  <si>
    <t>Tumbler Premium</t>
  </si>
  <si>
    <r>
      <rPr>
        <sz val="11"/>
        <color theme="1"/>
        <rFont val="Calibri"/>
        <charset val="134"/>
        <scheme val="minor"/>
      </rPr>
      <t xml:space="preserve">Isi </t>
    </r>
    <r>
      <rPr>
        <b/>
        <sz val="11"/>
        <color theme="1"/>
        <rFont val="Calibri"/>
        <charset val="134"/>
        <scheme val="minor"/>
      </rPr>
      <t>Nilai Hadiah</t>
    </r>
    <r>
      <rPr>
        <sz val="11"/>
        <color theme="1"/>
        <rFont val="Calibri"/>
        <charset val="134"/>
        <scheme val="minor"/>
      </rPr>
      <t xml:space="preserve"> menggunakan INDEX MATCH berdasarkan nama hadiah yang telah ditentukan.</t>
    </r>
  </si>
  <si>
    <t>INV-240410</t>
  </si>
  <si>
    <t>Jus Jeruk Fresh</t>
  </si>
  <si>
    <t>Speaker Mini</t>
  </si>
  <si>
    <r>
      <rPr>
        <sz val="11"/>
        <color theme="1"/>
        <rFont val="Calibri"/>
        <charset val="134"/>
        <scheme val="minor"/>
      </rPr>
      <t xml:space="preserve">Hitung </t>
    </r>
    <r>
      <rPr>
        <b/>
        <sz val="11"/>
        <color theme="1"/>
        <rFont val="Calibri"/>
        <charset val="134"/>
        <scheme val="minor"/>
      </rPr>
      <t>Pendapatan Bersih</t>
    </r>
    <r>
      <rPr>
        <sz val="11"/>
        <color theme="1"/>
        <rFont val="Calibri"/>
        <charset val="134"/>
        <scheme val="minor"/>
      </rPr>
      <t xml:space="preserve"> dengan rumus: Total Penjualan - (Total Penjualan*Cashback) - Nilai Hadiah.</t>
    </r>
  </si>
  <si>
    <t>INV-240411</t>
  </si>
  <si>
    <t>Kopi Susu Kaleng</t>
  </si>
  <si>
    <t>INV-240412</t>
  </si>
  <si>
    <t>Minuman Energi</t>
  </si>
  <si>
    <t>INV-240413</t>
  </si>
  <si>
    <t>INV-240414</t>
  </si>
  <si>
    <t>INV-240415</t>
  </si>
  <si>
    <t>TABEL CASHBACK</t>
  </si>
  <si>
    <t>INV-240416</t>
  </si>
  <si>
    <t>Qty Min</t>
  </si>
  <si>
    <t>Qty Max</t>
  </si>
  <si>
    <t>INV-240417</t>
  </si>
  <si>
    <t>INV-240418</t>
  </si>
  <si>
    <t>INV-240419</t>
  </si>
  <si>
    <t>dst</t>
  </si>
  <si>
    <t>INV-240420</t>
  </si>
  <si>
    <t>INV-240421</t>
  </si>
  <si>
    <t>INV-240422</t>
  </si>
  <si>
    <t>INV-240423</t>
  </si>
  <si>
    <t>INV-240424</t>
  </si>
  <si>
    <t>INV-240425</t>
  </si>
  <si>
    <t>INV-240426</t>
  </si>
  <si>
    <t>INV-240427</t>
  </si>
  <si>
    <t>INV-240428</t>
  </si>
  <si>
    <t>INV-240429</t>
  </si>
  <si>
    <t>INV-240430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</si>
</sst>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73" formatCode="_-&quot;Rp&quot;* #,##0_-;\-&quot;Rp&quot;* #,##0_-;_-&quot;Rp&quot;* &quot;-&quot;??_-;_-@_-"/>
  </numFmts>
  <fonts count="5">
    <font>
      <sz val="11"/>
      <color theme="1"/>
      <name val="Calibri"/>
      <charset val="134"/>
      <scheme val="minor"/>
    </font>
    <font>
      <b/>
      <sz val="11"/>
      <color theme="1"/>
      <name val="Calibri"/>
      <charset val="134"/>
      <scheme val="minor"/>
    </font>
    <font>
      <b/>
      <sz val="11"/>
      <color theme="0"/>
      <name val="Calibri"/>
      <charset val="134"/>
      <scheme val="minor"/>
    </font>
    <font>
      <sz val="11"/>
      <color theme="1"/>
      <name val="Calibri"/>
      <charset val="134"/>
      <scheme val="minor"/>
    </font>
    <font>
      <i/>
      <sz val="11"/>
      <color theme="1"/>
      <name val="Calibri"/>
      <charset val="134"/>
      <scheme val="minor"/>
    </font>
  </fonts>
  <fills count="10">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8" tint="0.79995117038483843"/>
        <bgColor indexed="64"/>
      </patternFill>
    </fill>
    <fill>
      <patternFill patternType="solid">
        <fgColor theme="3"/>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9" tint="0.39994506668294322"/>
        <bgColor indexed="64"/>
      </patternFill>
    </fill>
    <fill>
      <patternFill patternType="solid">
        <fgColor theme="9" tint="0.79995117038483843"/>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3">
    <xf numFmtId="0" fontId="0" fillId="0" borderId="0"/>
    <xf numFmtId="9" fontId="3" fillId="0" borderId="0" applyFont="0" applyFill="0" applyBorder="0" applyAlignment="0" applyProtection="0"/>
    <xf numFmtId="42" fontId="3" fillId="0" borderId="0" applyFont="0" applyFill="0" applyBorder="0" applyAlignment="0" applyProtection="0"/>
  </cellStyleXfs>
  <cellXfs count="23">
    <xf numFmtId="0" fontId="0" fillId="0" borderId="0" xfId="0"/>
    <xf numFmtId="0" fontId="0" fillId="0" borderId="0" xfId="0" applyAlignment="1">
      <alignment vertical="center"/>
    </xf>
    <xf numFmtId="0" fontId="0" fillId="0" borderId="1" xfId="0" applyBorder="1" applyAlignment="1">
      <alignment vertical="center" wrapText="1"/>
    </xf>
    <xf numFmtId="0" fontId="2" fillId="5"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0" borderId="1" xfId="0" applyBorder="1" applyAlignment="1">
      <alignment horizontal="center" vertical="center"/>
    </xf>
    <xf numFmtId="0" fontId="1" fillId="9"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42" fontId="0" fillId="0" borderId="1" xfId="2" applyFont="1" applyBorder="1" applyAlignment="1">
      <alignment vertical="center" wrapText="1"/>
    </xf>
    <xf numFmtId="9" fontId="0" fillId="0" borderId="1" xfId="0" applyNumberFormat="1" applyBorder="1" applyAlignment="1">
      <alignment horizontal="center" vertical="center" wrapText="1"/>
    </xf>
    <xf numFmtId="0" fontId="1" fillId="2" borderId="1" xfId="0" applyFont="1" applyFill="1" applyBorder="1" applyAlignment="1">
      <alignment vertical="center"/>
    </xf>
    <xf numFmtId="0" fontId="1" fillId="3" borderId="1" xfId="0" applyFont="1" applyFill="1" applyBorder="1" applyAlignment="1">
      <alignment vertical="center"/>
    </xf>
    <xf numFmtId="0" fontId="0" fillId="0" borderId="0" xfId="0" applyAlignment="1">
      <alignment horizontal="center" vertical="center"/>
    </xf>
    <xf numFmtId="0" fontId="1" fillId="4"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8" borderId="1" xfId="0" applyFont="1" applyFill="1" applyBorder="1"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wrapText="1"/>
    </xf>
    <xf numFmtId="9" fontId="0" fillId="0" borderId="1" xfId="1" applyNumberFormat="1" applyFont="1" applyBorder="1" applyAlignment="1">
      <alignment vertical="center" wrapText="1"/>
    </xf>
    <xf numFmtId="173" fontId="0" fillId="0" borderId="1" xfId="2" applyNumberFormat="1" applyFont="1" applyBorder="1" applyAlignment="1">
      <alignment vertical="center" wrapText="1"/>
    </xf>
    <xf numFmtId="173" fontId="0" fillId="0" borderId="1" xfId="0" applyNumberFormat="1" applyBorder="1" applyAlignment="1">
      <alignment vertical="center" wrapText="1"/>
    </xf>
  </cellXfs>
  <cellStyles count="3">
    <cellStyle name="Currency [0]" xfId="2" builtinId="7"/>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21"/>
  <sheetViews>
    <sheetView showGridLines="0" tabSelected="1" topLeftCell="A7" zoomScale="73" zoomScaleNormal="73" workbookViewId="0">
      <selection activeCell="Q31" sqref="Q31"/>
    </sheetView>
  </sheetViews>
  <sheetFormatPr defaultColWidth="9" defaultRowHeight="14.4"/>
  <cols>
    <col min="1" max="1" width="5.5546875" customWidth="1"/>
    <col min="2" max="2" width="12.109375" customWidth="1"/>
    <col min="3" max="3" width="10.5546875" customWidth="1"/>
    <col min="4" max="4" width="17" customWidth="1"/>
    <col min="5" max="5" width="7.6640625" customWidth="1"/>
    <col min="6" max="6" width="19" customWidth="1"/>
    <col min="7" max="7" width="4.6640625" customWidth="1"/>
    <col min="8" max="9" width="13.88671875" customWidth="1"/>
    <col min="10" max="10" width="9.5546875" customWidth="1"/>
    <col min="11" max="11" width="18" customWidth="1"/>
    <col min="12" max="13" width="13.88671875" customWidth="1"/>
    <col min="14" max="15" width="2.33203125" customWidth="1"/>
    <col min="17" max="17" width="18.6640625" customWidth="1"/>
    <col min="18" max="18" width="12.88671875" customWidth="1"/>
    <col min="19" max="19" width="10.5546875" customWidth="1"/>
    <col min="20" max="20" width="12.109375" customWidth="1"/>
    <col min="21" max="21" width="17.6640625" customWidth="1"/>
    <col min="22" max="23" width="2.33203125" customWidth="1"/>
    <col min="24" max="24" width="5.5546875" customWidth="1"/>
  </cols>
  <sheetData>
    <row r="1" spans="1:37">
      <c r="A1" s="11" t="s">
        <v>0</v>
      </c>
      <c r="B1" s="11"/>
      <c r="C1" s="11"/>
      <c r="D1" s="11"/>
      <c r="E1" s="11"/>
      <c r="F1" s="11"/>
      <c r="G1" s="11"/>
      <c r="H1" s="11"/>
      <c r="I1" s="11"/>
      <c r="J1" s="11"/>
      <c r="K1" s="11"/>
      <c r="L1" s="11"/>
      <c r="M1" s="11"/>
      <c r="N1" s="1"/>
      <c r="O1" s="1"/>
      <c r="P1" s="1"/>
      <c r="Q1" s="1"/>
      <c r="R1" s="1"/>
      <c r="S1" s="1"/>
      <c r="T1" s="1"/>
      <c r="U1" s="1"/>
      <c r="V1" s="1"/>
      <c r="W1" s="1"/>
      <c r="X1" s="1"/>
      <c r="Y1" s="1"/>
      <c r="Z1" s="1"/>
      <c r="AA1" s="1"/>
      <c r="AB1" s="1"/>
      <c r="AC1" s="1"/>
      <c r="AD1" s="1"/>
      <c r="AE1" s="1"/>
      <c r="AF1" s="1"/>
      <c r="AG1" s="1"/>
      <c r="AH1" s="1"/>
      <c r="AI1" s="1"/>
      <c r="AJ1" s="1"/>
      <c r="AK1" s="1"/>
    </row>
    <row r="2" spans="1:37">
      <c r="A2" s="12" t="s">
        <v>1</v>
      </c>
      <c r="B2" s="12"/>
      <c r="C2" s="12"/>
      <c r="D2" s="12"/>
      <c r="E2" s="12"/>
      <c r="F2" s="12"/>
      <c r="G2" s="12"/>
      <c r="H2" s="12"/>
      <c r="I2" s="12"/>
      <c r="J2" s="12"/>
      <c r="K2" s="12"/>
      <c r="L2" s="12"/>
      <c r="M2" s="12"/>
      <c r="N2" s="1"/>
      <c r="O2" s="1"/>
      <c r="P2" s="1"/>
      <c r="Q2" s="1"/>
      <c r="R2" s="1"/>
      <c r="S2" s="1"/>
      <c r="T2" s="1"/>
      <c r="U2" s="1"/>
      <c r="V2" s="1"/>
      <c r="W2" s="1"/>
      <c r="X2" s="1"/>
      <c r="Y2" s="1"/>
      <c r="Z2" s="1"/>
      <c r="AA2" s="1"/>
      <c r="AB2" s="1"/>
      <c r="AC2" s="1"/>
      <c r="AD2" s="1"/>
      <c r="AE2" s="1"/>
      <c r="AF2" s="1"/>
      <c r="AG2" s="1"/>
      <c r="AH2" s="1"/>
      <c r="AI2" s="1"/>
      <c r="AJ2" s="1"/>
      <c r="AK2" s="1"/>
    </row>
    <row r="3" spans="1:37">
      <c r="A3" s="19" t="s">
        <v>2</v>
      </c>
      <c r="B3" s="19"/>
      <c r="C3" s="19"/>
      <c r="D3" s="19"/>
      <c r="E3" s="19"/>
      <c r="F3" s="19"/>
      <c r="G3" s="19"/>
      <c r="H3" s="19"/>
      <c r="I3" s="19"/>
      <c r="J3" s="19"/>
      <c r="K3" s="19"/>
      <c r="L3" s="19"/>
      <c r="M3" s="19"/>
      <c r="N3" s="1"/>
      <c r="O3" s="1"/>
      <c r="P3" s="1"/>
      <c r="Q3" s="1"/>
      <c r="R3" s="1"/>
      <c r="S3" s="1"/>
      <c r="T3" s="1"/>
      <c r="U3" s="1"/>
      <c r="V3" s="1"/>
      <c r="W3" s="1"/>
      <c r="X3" s="1"/>
      <c r="Y3" s="1"/>
      <c r="Z3" s="1"/>
      <c r="AA3" s="1"/>
      <c r="AB3" s="1"/>
      <c r="AC3" s="1"/>
      <c r="AD3" s="1"/>
      <c r="AE3" s="1"/>
      <c r="AF3" s="1"/>
      <c r="AG3" s="1"/>
      <c r="AH3" s="1"/>
      <c r="AI3" s="1"/>
      <c r="AJ3" s="1"/>
      <c r="AK3" s="1"/>
    </row>
    <row r="4" spans="1:37">
      <c r="A4" s="19"/>
      <c r="B4" s="19"/>
      <c r="C4" s="19"/>
      <c r="D4" s="19"/>
      <c r="E4" s="19"/>
      <c r="F4" s="19"/>
      <c r="G4" s="19"/>
      <c r="H4" s="19"/>
      <c r="I4" s="19"/>
      <c r="J4" s="19"/>
      <c r="K4" s="19"/>
      <c r="L4" s="19"/>
      <c r="M4" s="19"/>
      <c r="N4" s="1"/>
      <c r="O4" s="1"/>
      <c r="P4" s="1"/>
      <c r="Q4" s="1"/>
      <c r="R4" s="1"/>
      <c r="S4" s="1"/>
      <c r="T4" s="1"/>
      <c r="U4" s="1"/>
      <c r="V4" s="1"/>
      <c r="W4" s="1"/>
      <c r="X4" s="1"/>
      <c r="Y4" s="1"/>
      <c r="Z4" s="1"/>
      <c r="AA4" s="1"/>
      <c r="AB4" s="1"/>
      <c r="AC4" s="1"/>
      <c r="AD4" s="1"/>
      <c r="AE4" s="1"/>
      <c r="AF4" s="1"/>
      <c r="AG4" s="1"/>
      <c r="AH4" s="1"/>
      <c r="AI4" s="1"/>
      <c r="AJ4" s="1"/>
      <c r="AK4" s="1"/>
    </row>
    <row r="5" spans="1:37">
      <c r="A5" s="19"/>
      <c r="B5" s="19"/>
      <c r="C5" s="19"/>
      <c r="D5" s="19"/>
      <c r="E5" s="19"/>
      <c r="F5" s="19"/>
      <c r="G5" s="19"/>
      <c r="H5" s="19"/>
      <c r="I5" s="19"/>
      <c r="J5" s="19"/>
      <c r="K5" s="19"/>
      <c r="L5" s="19"/>
      <c r="M5" s="19"/>
      <c r="N5" s="1"/>
      <c r="O5" s="1"/>
      <c r="P5" s="1"/>
      <c r="Q5" s="1"/>
      <c r="R5" s="1"/>
      <c r="S5" s="1"/>
      <c r="T5" s="1"/>
      <c r="U5" s="1"/>
      <c r="V5" s="1"/>
      <c r="W5" s="1"/>
      <c r="X5" s="1"/>
      <c r="Y5" s="1"/>
      <c r="Z5" s="1"/>
      <c r="AA5" s="1"/>
      <c r="AB5" s="1"/>
      <c r="AC5" s="1"/>
      <c r="AD5" s="1"/>
      <c r="AE5" s="1"/>
      <c r="AF5" s="1"/>
      <c r="AG5" s="1"/>
      <c r="AH5" s="1"/>
      <c r="AI5" s="1"/>
      <c r="AJ5" s="1"/>
      <c r="AK5" s="1"/>
    </row>
    <row r="6" spans="1:37">
      <c r="A6" s="13"/>
      <c r="B6" s="13"/>
      <c r="C6" s="13"/>
      <c r="D6" s="13"/>
      <c r="E6" s="13"/>
      <c r="F6" s="13"/>
      <c r="G6" s="13"/>
      <c r="H6" s="13"/>
      <c r="I6" s="13"/>
      <c r="J6" s="13"/>
      <c r="K6" s="13"/>
      <c r="L6" s="13"/>
      <c r="M6" s="13"/>
      <c r="N6" s="1"/>
      <c r="O6" s="1"/>
      <c r="P6" s="1"/>
      <c r="Q6" s="1"/>
      <c r="R6" s="1"/>
      <c r="S6" s="1"/>
      <c r="T6" s="1"/>
      <c r="U6" s="1"/>
      <c r="V6" s="1"/>
      <c r="W6" s="1"/>
      <c r="X6" s="1"/>
      <c r="Y6" s="1"/>
      <c r="Z6" s="1"/>
      <c r="AA6" s="1"/>
      <c r="AB6" s="1"/>
      <c r="AC6" s="1"/>
      <c r="AD6" s="1"/>
      <c r="AE6" s="1"/>
      <c r="AF6" s="1"/>
      <c r="AG6" s="1"/>
      <c r="AH6" s="1"/>
      <c r="AI6" s="1"/>
      <c r="AJ6" s="1"/>
      <c r="AK6" s="1"/>
    </row>
    <row r="7" spans="1:37">
      <c r="A7" s="14" t="s">
        <v>3</v>
      </c>
      <c r="B7" s="14"/>
      <c r="C7" s="14"/>
      <c r="D7" s="14"/>
      <c r="E7" s="14"/>
      <c r="F7" s="14"/>
      <c r="G7" s="14"/>
      <c r="H7" s="14"/>
      <c r="I7" s="14"/>
      <c r="J7" s="14"/>
      <c r="K7" s="14"/>
      <c r="L7" s="14"/>
      <c r="M7" s="14"/>
      <c r="N7" s="1"/>
      <c r="O7" s="1"/>
      <c r="P7" s="1"/>
      <c r="Q7" s="1"/>
      <c r="R7" s="1"/>
      <c r="S7" s="1"/>
      <c r="T7" s="1"/>
      <c r="U7" s="1"/>
      <c r="V7" s="1"/>
      <c r="W7" s="1"/>
      <c r="X7" s="1"/>
      <c r="Y7" s="1"/>
      <c r="Z7" s="1"/>
      <c r="AA7" s="1"/>
      <c r="AB7" s="1"/>
      <c r="AC7" s="1"/>
      <c r="AD7" s="1"/>
      <c r="AE7" s="1"/>
      <c r="AF7" s="1"/>
      <c r="AG7" s="1"/>
      <c r="AH7" s="1"/>
      <c r="AI7" s="1"/>
      <c r="AJ7" s="1"/>
      <c r="AK7" s="1"/>
    </row>
    <row r="8" spans="1:37" ht="28.8">
      <c r="A8" s="3" t="s">
        <v>4</v>
      </c>
      <c r="B8" s="3" t="s">
        <v>5</v>
      </c>
      <c r="C8" s="3" t="s">
        <v>6</v>
      </c>
      <c r="D8" s="3" t="s">
        <v>7</v>
      </c>
      <c r="E8" s="3" t="s">
        <v>8</v>
      </c>
      <c r="F8" s="3" t="s">
        <v>9</v>
      </c>
      <c r="G8" s="3" t="s">
        <v>10</v>
      </c>
      <c r="H8" s="3" t="s">
        <v>11</v>
      </c>
      <c r="I8" s="3" t="s">
        <v>12</v>
      </c>
      <c r="J8" s="3" t="s">
        <v>13</v>
      </c>
      <c r="K8" s="3" t="s">
        <v>14</v>
      </c>
      <c r="L8" s="3" t="s">
        <v>15</v>
      </c>
      <c r="M8" s="3" t="s">
        <v>16</v>
      </c>
      <c r="N8" s="1"/>
      <c r="O8" s="1"/>
      <c r="P8" s="1"/>
      <c r="Q8" s="1"/>
      <c r="R8" s="1"/>
      <c r="S8" s="1"/>
      <c r="T8" s="1"/>
      <c r="U8" s="1"/>
      <c r="V8" s="1"/>
      <c r="W8" s="1"/>
      <c r="X8" s="15" t="s">
        <v>17</v>
      </c>
      <c r="Y8" s="15"/>
      <c r="Z8" s="15"/>
      <c r="AA8" s="15"/>
      <c r="AB8" s="15"/>
      <c r="AC8" s="15"/>
      <c r="AD8" s="15"/>
      <c r="AE8" s="15"/>
      <c r="AF8" s="15"/>
      <c r="AG8" s="15"/>
      <c r="AH8" s="15"/>
      <c r="AI8" s="15"/>
      <c r="AJ8" s="1"/>
      <c r="AK8" s="1"/>
    </row>
    <row r="9" spans="1:37">
      <c r="A9" s="4">
        <v>1</v>
      </c>
      <c r="B9" s="4" t="s">
        <v>18</v>
      </c>
      <c r="C9" s="4" t="s">
        <v>19</v>
      </c>
      <c r="D9" s="2" t="str">
        <f>HLOOKUP(C9,$Q$10:$T$11,2,0)</f>
        <v>Toko Orion</v>
      </c>
      <c r="E9" s="4" t="s">
        <v>20</v>
      </c>
      <c r="F9" s="2" t="str">
        <f>VLOOKUP(E9,$P$16:$Q$20,2,0)</f>
        <v>Jus Jeruk Fresh</v>
      </c>
      <c r="G9" s="4">
        <v>6</v>
      </c>
      <c r="H9" s="21">
        <f>VLOOKUP(F9,$Q$16:$R$20,2,0)</f>
        <v>11500</v>
      </c>
      <c r="I9" s="22">
        <f>G9*H9</f>
        <v>69000</v>
      </c>
      <c r="J9" s="20">
        <f>VLOOKUP(G9,$P$25:$R$27,3,1)</f>
        <v>0.03</v>
      </c>
      <c r="K9" s="2" t="str">
        <f>IF(G9&lt;=10,"Payung Eksklusif",IF(G9&lt;=20,"Tumbler Premium","Speaker Mini"))</f>
        <v>Payung Eksklusif</v>
      </c>
      <c r="L9" s="21">
        <f>INDEX($T$16:$T$18,MATCH(K9,$U$16:$U$18,0))</f>
        <v>3000</v>
      </c>
      <c r="M9" s="22">
        <f>I9-(I9*J9)-L9</f>
        <v>63930</v>
      </c>
      <c r="N9" s="1"/>
      <c r="O9" s="1"/>
      <c r="P9" s="16" t="s">
        <v>21</v>
      </c>
      <c r="Q9" s="16"/>
      <c r="R9" s="16"/>
      <c r="S9" s="16"/>
      <c r="T9" s="16"/>
      <c r="U9" s="1"/>
      <c r="V9" s="1"/>
      <c r="W9" s="1"/>
      <c r="X9" s="5">
        <v>1</v>
      </c>
      <c r="Y9" s="17" t="s">
        <v>22</v>
      </c>
      <c r="Z9" s="17"/>
      <c r="AA9" s="17"/>
      <c r="AB9" s="17"/>
      <c r="AC9" s="17"/>
      <c r="AD9" s="17"/>
      <c r="AE9" s="17"/>
      <c r="AF9" s="17"/>
      <c r="AG9" s="17"/>
      <c r="AH9" s="17"/>
      <c r="AI9" s="17"/>
      <c r="AJ9" s="1"/>
      <c r="AK9" s="1"/>
    </row>
    <row r="10" spans="1:37">
      <c r="A10" s="4">
        <v>2</v>
      </c>
      <c r="B10" s="4" t="s">
        <v>23</v>
      </c>
      <c r="C10" s="4" t="s">
        <v>24</v>
      </c>
      <c r="D10" s="2" t="str">
        <f t="shared" ref="D10:D38" si="0">HLOOKUP(C10,$Q$10:$T$11,2,0)</f>
        <v>Toko Andromeda</v>
      </c>
      <c r="E10" s="4" t="s">
        <v>25</v>
      </c>
      <c r="F10" s="2" t="str">
        <f t="shared" ref="F10:F38" si="1">VLOOKUP(E10,$P$16:$Q$20,2,0)</f>
        <v>Teh Botol Premium</v>
      </c>
      <c r="G10" s="4">
        <v>12</v>
      </c>
      <c r="H10" s="21">
        <f t="shared" ref="H10:H38" si="2">VLOOKUP(F10,$Q$16:$R$20,2,0)</f>
        <v>8500</v>
      </c>
      <c r="I10" s="22">
        <f t="shared" ref="I10:I38" si="3">G10*H10</f>
        <v>102000</v>
      </c>
      <c r="J10" s="20">
        <f t="shared" ref="J10:J39" si="4">VLOOKUP(G10,$P$25:$R$27,3,1)</f>
        <v>7.0000000000000007E-2</v>
      </c>
      <c r="K10" s="2" t="str">
        <f t="shared" ref="K10:K38" si="5">IF(G10&lt;=10,"Payung Eksklusif",IF(G10&lt;=20,"Tumbler Premium","Speaker Mini"))</f>
        <v>Tumbler Premium</v>
      </c>
      <c r="L10" s="21">
        <f t="shared" ref="L10:L38" si="6">INDEX($T$16:$T$18,MATCH(K10,$U$16:$U$18,0))</f>
        <v>5000</v>
      </c>
      <c r="M10" s="22">
        <f t="shared" ref="M10:M38" si="7">I10-(I10*J10)-L10</f>
        <v>89860</v>
      </c>
      <c r="N10" s="1"/>
      <c r="O10" s="1"/>
      <c r="P10" s="6" t="s">
        <v>26</v>
      </c>
      <c r="Q10" s="7" t="s">
        <v>24</v>
      </c>
      <c r="R10" s="7" t="s">
        <v>19</v>
      </c>
      <c r="S10" s="7" t="s">
        <v>27</v>
      </c>
      <c r="T10" s="7" t="s">
        <v>28</v>
      </c>
      <c r="U10" s="1"/>
      <c r="V10" s="1"/>
      <c r="W10" s="1"/>
      <c r="X10" s="5">
        <v>2</v>
      </c>
      <c r="Y10" s="17" t="s">
        <v>29</v>
      </c>
      <c r="Z10" s="17"/>
      <c r="AA10" s="17"/>
      <c r="AB10" s="17"/>
      <c r="AC10" s="17"/>
      <c r="AD10" s="17"/>
      <c r="AE10" s="17"/>
      <c r="AF10" s="17"/>
      <c r="AG10" s="17"/>
      <c r="AH10" s="17"/>
      <c r="AI10" s="17"/>
      <c r="AJ10" s="1"/>
      <c r="AK10" s="1"/>
    </row>
    <row r="11" spans="1:37">
      <c r="A11" s="4">
        <v>3</v>
      </c>
      <c r="B11" s="4" t="s">
        <v>30</v>
      </c>
      <c r="C11" s="4" t="s">
        <v>28</v>
      </c>
      <c r="D11" s="2" t="str">
        <f t="shared" si="0"/>
        <v>Toko Sirius</v>
      </c>
      <c r="E11" s="4" t="s">
        <v>31</v>
      </c>
      <c r="F11" s="2" t="str">
        <f t="shared" si="1"/>
        <v>Minuman Energi</v>
      </c>
      <c r="G11" s="4">
        <v>18</v>
      </c>
      <c r="H11" s="21">
        <f t="shared" si="2"/>
        <v>13200</v>
      </c>
      <c r="I11" s="22">
        <f t="shared" si="3"/>
        <v>237600</v>
      </c>
      <c r="J11" s="20">
        <f t="shared" si="4"/>
        <v>7.0000000000000007E-2</v>
      </c>
      <c r="K11" s="2" t="str">
        <f t="shared" si="5"/>
        <v>Tumbler Premium</v>
      </c>
      <c r="L11" s="21">
        <f t="shared" si="6"/>
        <v>5000</v>
      </c>
      <c r="M11" s="22">
        <f t="shared" si="7"/>
        <v>215968</v>
      </c>
      <c r="N11" s="1"/>
      <c r="O11" s="1"/>
      <c r="P11" s="6" t="s">
        <v>32</v>
      </c>
      <c r="Q11" s="8" t="s">
        <v>33</v>
      </c>
      <c r="R11" s="8" t="s">
        <v>34</v>
      </c>
      <c r="S11" s="8" t="s">
        <v>35</v>
      </c>
      <c r="T11" s="8" t="s">
        <v>36</v>
      </c>
      <c r="U11" s="1"/>
      <c r="V11" s="1"/>
      <c r="W11" s="1"/>
      <c r="X11" s="5">
        <v>3</v>
      </c>
      <c r="Y11" s="17" t="s">
        <v>37</v>
      </c>
      <c r="Z11" s="17"/>
      <c r="AA11" s="17"/>
      <c r="AB11" s="17"/>
      <c r="AC11" s="17"/>
      <c r="AD11" s="17"/>
      <c r="AE11" s="17"/>
      <c r="AF11" s="17"/>
      <c r="AG11" s="17"/>
      <c r="AH11" s="17"/>
      <c r="AI11" s="17"/>
      <c r="AJ11" s="1"/>
      <c r="AK11" s="1"/>
    </row>
    <row r="12" spans="1:37">
      <c r="A12" s="4">
        <v>4</v>
      </c>
      <c r="B12" s="4" t="s">
        <v>38</v>
      </c>
      <c r="C12" s="4" t="s">
        <v>27</v>
      </c>
      <c r="D12" s="2" t="str">
        <f t="shared" si="0"/>
        <v>Toko Vega</v>
      </c>
      <c r="E12" s="4" t="s">
        <v>39</v>
      </c>
      <c r="F12" s="2" t="str">
        <f t="shared" si="1"/>
        <v>Air Mineral 600ml</v>
      </c>
      <c r="G12" s="4">
        <v>9</v>
      </c>
      <c r="H12" s="21">
        <f t="shared" si="2"/>
        <v>4800</v>
      </c>
      <c r="I12" s="22">
        <f t="shared" si="3"/>
        <v>43200</v>
      </c>
      <c r="J12" s="20">
        <f t="shared" si="4"/>
        <v>0.03</v>
      </c>
      <c r="K12" s="2" t="str">
        <f t="shared" si="5"/>
        <v>Payung Eksklusif</v>
      </c>
      <c r="L12" s="21">
        <f t="shared" si="6"/>
        <v>3000</v>
      </c>
      <c r="M12" s="22">
        <f t="shared" si="7"/>
        <v>38904</v>
      </c>
      <c r="N12" s="1"/>
      <c r="O12" s="1"/>
      <c r="P12" s="1"/>
      <c r="Q12" s="1"/>
      <c r="R12" s="1"/>
      <c r="S12" s="1"/>
      <c r="T12" s="1"/>
      <c r="U12" s="1"/>
      <c r="V12" s="1"/>
      <c r="W12" s="1"/>
      <c r="X12" s="5">
        <v>4</v>
      </c>
      <c r="Y12" s="17" t="s">
        <v>40</v>
      </c>
      <c r="Z12" s="17"/>
      <c r="AA12" s="17"/>
      <c r="AB12" s="17"/>
      <c r="AC12" s="17"/>
      <c r="AD12" s="17"/>
      <c r="AE12" s="17"/>
      <c r="AF12" s="17"/>
      <c r="AG12" s="17"/>
      <c r="AH12" s="17"/>
      <c r="AI12" s="17"/>
      <c r="AJ12" s="1"/>
      <c r="AK12" s="1"/>
    </row>
    <row r="13" spans="1:37">
      <c r="A13" s="4">
        <v>5</v>
      </c>
      <c r="B13" s="4" t="s">
        <v>41</v>
      </c>
      <c r="C13" s="4" t="s">
        <v>19</v>
      </c>
      <c r="D13" s="2" t="str">
        <f t="shared" si="0"/>
        <v>Toko Orion</v>
      </c>
      <c r="E13" s="4" t="s">
        <v>42</v>
      </c>
      <c r="F13" s="2" t="str">
        <f t="shared" si="1"/>
        <v>Kopi Susu Kaleng</v>
      </c>
      <c r="G13" s="4">
        <v>15</v>
      </c>
      <c r="H13" s="21">
        <f t="shared" si="2"/>
        <v>9700</v>
      </c>
      <c r="I13" s="22">
        <f t="shared" si="3"/>
        <v>145500</v>
      </c>
      <c r="J13" s="20">
        <f t="shared" si="4"/>
        <v>7.0000000000000007E-2</v>
      </c>
      <c r="K13" s="2" t="str">
        <f t="shared" si="5"/>
        <v>Tumbler Premium</v>
      </c>
      <c r="L13" s="21">
        <f t="shared" si="6"/>
        <v>5000</v>
      </c>
      <c r="M13" s="22">
        <f t="shared" si="7"/>
        <v>130315</v>
      </c>
      <c r="N13" s="1"/>
      <c r="O13" s="1"/>
      <c r="P13" s="1"/>
      <c r="Q13" s="1"/>
      <c r="R13" s="1"/>
      <c r="S13" s="1"/>
      <c r="T13" s="1"/>
      <c r="U13" s="1"/>
      <c r="V13" s="1"/>
      <c r="W13" s="1"/>
      <c r="X13" s="18">
        <v>5</v>
      </c>
      <c r="Y13" s="19" t="s">
        <v>43</v>
      </c>
      <c r="Z13" s="19"/>
      <c r="AA13" s="19"/>
      <c r="AB13" s="19"/>
      <c r="AC13" s="19"/>
      <c r="AD13" s="19"/>
      <c r="AE13" s="19"/>
      <c r="AF13" s="19"/>
      <c r="AG13" s="19"/>
      <c r="AH13" s="19"/>
      <c r="AI13" s="19"/>
      <c r="AJ13" s="1"/>
      <c r="AK13" s="1"/>
    </row>
    <row r="14" spans="1:37">
      <c r="A14" s="4">
        <v>6</v>
      </c>
      <c r="B14" s="4" t="s">
        <v>44</v>
      </c>
      <c r="C14" s="4" t="s">
        <v>24</v>
      </c>
      <c r="D14" s="2" t="str">
        <f t="shared" si="0"/>
        <v>Toko Andromeda</v>
      </c>
      <c r="E14" s="4" t="s">
        <v>20</v>
      </c>
      <c r="F14" s="2" t="str">
        <f t="shared" si="1"/>
        <v>Jus Jeruk Fresh</v>
      </c>
      <c r="G14" s="4">
        <v>22</v>
      </c>
      <c r="H14" s="21">
        <f t="shared" si="2"/>
        <v>11500</v>
      </c>
      <c r="I14" s="22">
        <f t="shared" si="3"/>
        <v>253000</v>
      </c>
      <c r="J14" s="20">
        <f t="shared" si="4"/>
        <v>0.12</v>
      </c>
      <c r="K14" s="2" t="str">
        <f t="shared" si="5"/>
        <v>Speaker Mini</v>
      </c>
      <c r="L14" s="21">
        <f t="shared" si="6"/>
        <v>8000</v>
      </c>
      <c r="M14" s="22">
        <f t="shared" si="7"/>
        <v>214640</v>
      </c>
      <c r="N14" s="1"/>
      <c r="O14" s="1"/>
      <c r="P14" s="16" t="s">
        <v>45</v>
      </c>
      <c r="Q14" s="16"/>
      <c r="R14" s="16"/>
      <c r="S14" s="1"/>
      <c r="T14" s="16" t="s">
        <v>46</v>
      </c>
      <c r="U14" s="16"/>
      <c r="V14" s="1"/>
      <c r="W14" s="1"/>
      <c r="X14" s="18"/>
      <c r="Y14" s="19"/>
      <c r="Z14" s="19"/>
      <c r="AA14" s="19"/>
      <c r="AB14" s="19"/>
      <c r="AC14" s="19"/>
      <c r="AD14" s="19"/>
      <c r="AE14" s="19"/>
      <c r="AF14" s="19"/>
      <c r="AG14" s="19"/>
      <c r="AH14" s="19"/>
      <c r="AI14" s="19"/>
      <c r="AJ14" s="1"/>
      <c r="AK14" s="1"/>
    </row>
    <row r="15" spans="1:37">
      <c r="A15" s="4">
        <v>7</v>
      </c>
      <c r="B15" s="4" t="s">
        <v>47</v>
      </c>
      <c r="C15" s="4" t="s">
        <v>28</v>
      </c>
      <c r="D15" s="2" t="str">
        <f t="shared" si="0"/>
        <v>Toko Sirius</v>
      </c>
      <c r="E15" s="4" t="s">
        <v>25</v>
      </c>
      <c r="F15" s="2" t="str">
        <f t="shared" si="1"/>
        <v>Teh Botol Premium</v>
      </c>
      <c r="G15" s="4">
        <v>7</v>
      </c>
      <c r="H15" s="21">
        <f t="shared" si="2"/>
        <v>8500</v>
      </c>
      <c r="I15" s="22">
        <f t="shared" si="3"/>
        <v>59500</v>
      </c>
      <c r="J15" s="20">
        <f t="shared" si="4"/>
        <v>0.03</v>
      </c>
      <c r="K15" s="2" t="str">
        <f t="shared" si="5"/>
        <v>Payung Eksklusif</v>
      </c>
      <c r="L15" s="21">
        <f t="shared" si="6"/>
        <v>3000</v>
      </c>
      <c r="M15" s="22">
        <f t="shared" si="7"/>
        <v>54715</v>
      </c>
      <c r="N15" s="1"/>
      <c r="O15" s="1"/>
      <c r="P15" s="6" t="s">
        <v>26</v>
      </c>
      <c r="Q15" s="6" t="s">
        <v>9</v>
      </c>
      <c r="R15" s="6" t="s">
        <v>11</v>
      </c>
      <c r="S15" s="1"/>
      <c r="T15" s="6" t="s">
        <v>15</v>
      </c>
      <c r="U15" s="6" t="s">
        <v>14</v>
      </c>
      <c r="V15" s="1"/>
      <c r="W15" s="1"/>
      <c r="X15" s="18"/>
      <c r="Y15" s="19"/>
      <c r="Z15" s="19"/>
      <c r="AA15" s="19"/>
      <c r="AB15" s="19"/>
      <c r="AC15" s="19"/>
      <c r="AD15" s="19"/>
      <c r="AE15" s="19"/>
      <c r="AF15" s="19"/>
      <c r="AG15" s="19"/>
      <c r="AH15" s="19"/>
      <c r="AI15" s="19"/>
      <c r="AJ15" s="1"/>
      <c r="AK15" s="1"/>
    </row>
    <row r="16" spans="1:37">
      <c r="A16" s="4">
        <v>8</v>
      </c>
      <c r="B16" s="4" t="s">
        <v>48</v>
      </c>
      <c r="C16" s="4" t="s">
        <v>27</v>
      </c>
      <c r="D16" s="2" t="str">
        <f t="shared" si="0"/>
        <v>Toko Vega</v>
      </c>
      <c r="E16" s="4" t="s">
        <v>31</v>
      </c>
      <c r="F16" s="2" t="str">
        <f t="shared" si="1"/>
        <v>Minuman Energi</v>
      </c>
      <c r="G16" s="4">
        <v>25</v>
      </c>
      <c r="H16" s="21">
        <f t="shared" si="2"/>
        <v>13200</v>
      </c>
      <c r="I16" s="22">
        <f t="shared" si="3"/>
        <v>330000</v>
      </c>
      <c r="J16" s="20">
        <f t="shared" si="4"/>
        <v>0.12</v>
      </c>
      <c r="K16" s="2" t="str">
        <f t="shared" si="5"/>
        <v>Speaker Mini</v>
      </c>
      <c r="L16" s="21">
        <f t="shared" si="6"/>
        <v>8000</v>
      </c>
      <c r="M16" s="22">
        <f t="shared" si="7"/>
        <v>282400</v>
      </c>
      <c r="N16" s="1"/>
      <c r="O16" s="1"/>
      <c r="P16" s="8" t="s">
        <v>25</v>
      </c>
      <c r="Q16" s="2" t="s">
        <v>49</v>
      </c>
      <c r="R16" s="9">
        <v>8500</v>
      </c>
      <c r="S16" s="1"/>
      <c r="T16" s="9">
        <v>3000</v>
      </c>
      <c r="U16" s="2" t="s">
        <v>50</v>
      </c>
      <c r="V16" s="1"/>
      <c r="W16" s="1"/>
      <c r="X16" s="18"/>
      <c r="Y16" s="19"/>
      <c r="Z16" s="19"/>
      <c r="AA16" s="19"/>
      <c r="AB16" s="19"/>
      <c r="AC16" s="19"/>
      <c r="AD16" s="19"/>
      <c r="AE16" s="19"/>
      <c r="AF16" s="19"/>
      <c r="AG16" s="19"/>
      <c r="AH16" s="19"/>
      <c r="AI16" s="19"/>
      <c r="AJ16" s="1"/>
      <c r="AK16" s="1"/>
    </row>
    <row r="17" spans="1:37">
      <c r="A17" s="4">
        <v>9</v>
      </c>
      <c r="B17" s="4" t="s">
        <v>51</v>
      </c>
      <c r="C17" s="4" t="s">
        <v>19</v>
      </c>
      <c r="D17" s="2" t="str">
        <f t="shared" si="0"/>
        <v>Toko Orion</v>
      </c>
      <c r="E17" s="4" t="s">
        <v>39</v>
      </c>
      <c r="F17" s="2" t="str">
        <f t="shared" si="1"/>
        <v>Air Mineral 600ml</v>
      </c>
      <c r="G17" s="4">
        <v>11</v>
      </c>
      <c r="H17" s="21">
        <f t="shared" si="2"/>
        <v>4800</v>
      </c>
      <c r="I17" s="22">
        <f t="shared" si="3"/>
        <v>52800</v>
      </c>
      <c r="J17" s="20">
        <f t="shared" si="4"/>
        <v>7.0000000000000007E-2</v>
      </c>
      <c r="K17" s="2" t="str">
        <f t="shared" si="5"/>
        <v>Tumbler Premium</v>
      </c>
      <c r="L17" s="21">
        <f t="shared" si="6"/>
        <v>5000</v>
      </c>
      <c r="M17" s="22">
        <f t="shared" si="7"/>
        <v>44104</v>
      </c>
      <c r="N17" s="1"/>
      <c r="O17" s="1"/>
      <c r="P17" s="8" t="s">
        <v>39</v>
      </c>
      <c r="Q17" s="2" t="s">
        <v>52</v>
      </c>
      <c r="R17" s="9">
        <v>4800</v>
      </c>
      <c r="S17" s="1"/>
      <c r="T17" s="9">
        <v>5000</v>
      </c>
      <c r="U17" s="2" t="s">
        <v>53</v>
      </c>
      <c r="V17" s="1"/>
      <c r="W17" s="1"/>
      <c r="X17" s="5">
        <v>6</v>
      </c>
      <c r="Y17" s="17" t="s">
        <v>54</v>
      </c>
      <c r="Z17" s="17"/>
      <c r="AA17" s="17"/>
      <c r="AB17" s="17"/>
      <c r="AC17" s="17"/>
      <c r="AD17" s="17"/>
      <c r="AE17" s="17"/>
      <c r="AF17" s="17"/>
      <c r="AG17" s="17"/>
      <c r="AH17" s="17"/>
      <c r="AI17" s="17"/>
      <c r="AJ17" s="1"/>
      <c r="AK17" s="1"/>
    </row>
    <row r="18" spans="1:37">
      <c r="A18" s="4">
        <v>10</v>
      </c>
      <c r="B18" s="4" t="s">
        <v>55</v>
      </c>
      <c r="C18" s="4" t="s">
        <v>24</v>
      </c>
      <c r="D18" s="2" t="str">
        <f t="shared" si="0"/>
        <v>Toko Andromeda</v>
      </c>
      <c r="E18" s="4" t="s">
        <v>42</v>
      </c>
      <c r="F18" s="2" t="str">
        <f t="shared" si="1"/>
        <v>Kopi Susu Kaleng</v>
      </c>
      <c r="G18" s="4">
        <v>19</v>
      </c>
      <c r="H18" s="21">
        <f t="shared" si="2"/>
        <v>9700</v>
      </c>
      <c r="I18" s="22">
        <f t="shared" si="3"/>
        <v>184300</v>
      </c>
      <c r="J18" s="20">
        <f t="shared" si="4"/>
        <v>7.0000000000000007E-2</v>
      </c>
      <c r="K18" s="2" t="str">
        <f t="shared" si="5"/>
        <v>Tumbler Premium</v>
      </c>
      <c r="L18" s="21">
        <f t="shared" si="6"/>
        <v>5000</v>
      </c>
      <c r="M18" s="22">
        <f t="shared" si="7"/>
        <v>166399</v>
      </c>
      <c r="N18" s="1"/>
      <c r="O18" s="1"/>
      <c r="P18" s="8" t="s">
        <v>20</v>
      </c>
      <c r="Q18" s="2" t="s">
        <v>56</v>
      </c>
      <c r="R18" s="9">
        <v>11500</v>
      </c>
      <c r="S18" s="1"/>
      <c r="T18" s="9">
        <v>8000</v>
      </c>
      <c r="U18" s="2" t="s">
        <v>57</v>
      </c>
      <c r="V18" s="1"/>
      <c r="W18" s="1"/>
      <c r="X18" s="5">
        <v>7</v>
      </c>
      <c r="Y18" s="17" t="s">
        <v>58</v>
      </c>
      <c r="Z18" s="17"/>
      <c r="AA18" s="17"/>
      <c r="AB18" s="17"/>
      <c r="AC18" s="17"/>
      <c r="AD18" s="17"/>
      <c r="AE18" s="17"/>
      <c r="AF18" s="17"/>
      <c r="AG18" s="17"/>
      <c r="AH18" s="17"/>
      <c r="AI18" s="17"/>
      <c r="AJ18" s="1"/>
      <c r="AK18" s="1"/>
    </row>
    <row r="19" spans="1:37">
      <c r="A19" s="4">
        <v>11</v>
      </c>
      <c r="B19" s="4" t="s">
        <v>59</v>
      </c>
      <c r="C19" s="4" t="s">
        <v>28</v>
      </c>
      <c r="D19" s="2" t="str">
        <f t="shared" si="0"/>
        <v>Toko Sirius</v>
      </c>
      <c r="E19" s="4" t="s">
        <v>20</v>
      </c>
      <c r="F19" s="2" t="str">
        <f t="shared" si="1"/>
        <v>Jus Jeruk Fresh</v>
      </c>
      <c r="G19" s="4">
        <v>5</v>
      </c>
      <c r="H19" s="21">
        <f t="shared" si="2"/>
        <v>11500</v>
      </c>
      <c r="I19" s="22">
        <f t="shared" si="3"/>
        <v>57500</v>
      </c>
      <c r="J19" s="20">
        <f t="shared" si="4"/>
        <v>0.03</v>
      </c>
      <c r="K19" s="2" t="str">
        <f t="shared" si="5"/>
        <v>Payung Eksklusif</v>
      </c>
      <c r="L19" s="21">
        <f t="shared" si="6"/>
        <v>3000</v>
      </c>
      <c r="M19" s="22">
        <f t="shared" si="7"/>
        <v>52775</v>
      </c>
      <c r="N19" s="1"/>
      <c r="O19" s="1"/>
      <c r="P19" s="8" t="s">
        <v>42</v>
      </c>
      <c r="Q19" s="2" t="s">
        <v>60</v>
      </c>
      <c r="R19" s="9">
        <v>9700</v>
      </c>
      <c r="S19" s="1"/>
      <c r="T19" s="1"/>
      <c r="U19" s="1"/>
      <c r="V19" s="1"/>
      <c r="W19" s="1"/>
      <c r="X19" s="1"/>
      <c r="Y19" s="1"/>
      <c r="Z19" s="1"/>
      <c r="AA19" s="1"/>
      <c r="AB19" s="1"/>
      <c r="AC19" s="1"/>
      <c r="AD19" s="1"/>
      <c r="AE19" s="1"/>
      <c r="AF19" s="1"/>
      <c r="AG19" s="1"/>
      <c r="AH19" s="1"/>
      <c r="AI19" s="1"/>
      <c r="AJ19" s="1"/>
      <c r="AK19" s="1"/>
    </row>
    <row r="20" spans="1:37">
      <c r="A20" s="4">
        <v>12</v>
      </c>
      <c r="B20" s="4" t="s">
        <v>61</v>
      </c>
      <c r="C20" s="4" t="s">
        <v>27</v>
      </c>
      <c r="D20" s="2" t="str">
        <f t="shared" si="0"/>
        <v>Toko Vega</v>
      </c>
      <c r="E20" s="4" t="s">
        <v>25</v>
      </c>
      <c r="F20" s="2" t="str">
        <f t="shared" si="1"/>
        <v>Teh Botol Premium</v>
      </c>
      <c r="G20" s="4">
        <v>14</v>
      </c>
      <c r="H20" s="21">
        <f t="shared" si="2"/>
        <v>8500</v>
      </c>
      <c r="I20" s="22">
        <f t="shared" si="3"/>
        <v>119000</v>
      </c>
      <c r="J20" s="20">
        <f t="shared" si="4"/>
        <v>7.0000000000000007E-2</v>
      </c>
      <c r="K20" s="2" t="str">
        <f t="shared" si="5"/>
        <v>Tumbler Premium</v>
      </c>
      <c r="L20" s="21">
        <f t="shared" si="6"/>
        <v>5000</v>
      </c>
      <c r="M20" s="22">
        <f t="shared" si="7"/>
        <v>105670</v>
      </c>
      <c r="N20" s="1"/>
      <c r="O20" s="1"/>
      <c r="P20" s="8" t="s">
        <v>31</v>
      </c>
      <c r="Q20" s="2" t="s">
        <v>62</v>
      </c>
      <c r="R20" s="9">
        <v>13200</v>
      </c>
      <c r="S20" s="1"/>
      <c r="T20" s="1"/>
      <c r="U20" s="1"/>
      <c r="V20" s="1"/>
      <c r="W20" s="1"/>
      <c r="X20" s="1"/>
      <c r="Y20" s="1"/>
      <c r="Z20" s="1"/>
      <c r="AA20" s="1"/>
      <c r="AB20" s="1"/>
      <c r="AC20" s="1"/>
      <c r="AD20" s="1"/>
      <c r="AE20" s="1"/>
      <c r="AF20" s="1"/>
      <c r="AG20" s="1"/>
      <c r="AH20" s="1"/>
      <c r="AI20" s="1"/>
      <c r="AJ20" s="1"/>
      <c r="AK20" s="1"/>
    </row>
    <row r="21" spans="1:37">
      <c r="A21" s="4">
        <v>13</v>
      </c>
      <c r="B21" s="4" t="s">
        <v>63</v>
      </c>
      <c r="C21" s="4" t="s">
        <v>19</v>
      </c>
      <c r="D21" s="2" t="str">
        <f t="shared" si="0"/>
        <v>Toko Orion</v>
      </c>
      <c r="E21" s="4" t="s">
        <v>31</v>
      </c>
      <c r="F21" s="2" t="str">
        <f t="shared" si="1"/>
        <v>Minuman Energi</v>
      </c>
      <c r="G21" s="4">
        <v>21</v>
      </c>
      <c r="H21" s="21">
        <f t="shared" si="2"/>
        <v>13200</v>
      </c>
      <c r="I21" s="22">
        <f t="shared" si="3"/>
        <v>277200</v>
      </c>
      <c r="J21" s="20">
        <f t="shared" si="4"/>
        <v>0.12</v>
      </c>
      <c r="K21" s="2" t="str">
        <f t="shared" si="5"/>
        <v>Speaker Mini</v>
      </c>
      <c r="L21" s="21">
        <f t="shared" si="6"/>
        <v>8000</v>
      </c>
      <c r="M21" s="22">
        <f t="shared" si="7"/>
        <v>235936</v>
      </c>
      <c r="N21" s="1"/>
      <c r="O21" s="1"/>
      <c r="P21" s="1"/>
      <c r="Q21" s="1"/>
      <c r="R21" s="1"/>
      <c r="S21" s="1"/>
      <c r="T21" s="1"/>
      <c r="U21" s="1"/>
      <c r="V21" s="1"/>
      <c r="W21" s="1"/>
      <c r="X21" s="1"/>
      <c r="Y21" s="1"/>
      <c r="Z21" s="1"/>
      <c r="AA21" s="1"/>
      <c r="AB21" s="1"/>
      <c r="AC21" s="1"/>
      <c r="AD21" s="1"/>
      <c r="AE21" s="1"/>
      <c r="AF21" s="1"/>
      <c r="AG21" s="1"/>
      <c r="AH21" s="1"/>
      <c r="AI21" s="1"/>
      <c r="AJ21" s="1"/>
      <c r="AK21" s="1"/>
    </row>
    <row r="22" spans="1:37">
      <c r="A22" s="4">
        <v>14</v>
      </c>
      <c r="B22" s="4" t="s">
        <v>64</v>
      </c>
      <c r="C22" s="4" t="s">
        <v>24</v>
      </c>
      <c r="D22" s="2" t="str">
        <f t="shared" si="0"/>
        <v>Toko Andromeda</v>
      </c>
      <c r="E22" s="4" t="s">
        <v>39</v>
      </c>
      <c r="F22" s="2" t="str">
        <f t="shared" si="1"/>
        <v>Air Mineral 600ml</v>
      </c>
      <c r="G22" s="4">
        <v>8</v>
      </c>
      <c r="H22" s="21">
        <f t="shared" si="2"/>
        <v>4800</v>
      </c>
      <c r="I22" s="22">
        <f t="shared" si="3"/>
        <v>38400</v>
      </c>
      <c r="J22" s="20">
        <f t="shared" si="4"/>
        <v>0.03</v>
      </c>
      <c r="K22" s="2" t="str">
        <f t="shared" si="5"/>
        <v>Payung Eksklusif</v>
      </c>
      <c r="L22" s="21">
        <f t="shared" si="6"/>
        <v>3000</v>
      </c>
      <c r="M22" s="22">
        <f t="shared" si="7"/>
        <v>34248</v>
      </c>
      <c r="N22" s="1"/>
      <c r="O22" s="1"/>
      <c r="P22" s="1"/>
      <c r="Q22" s="1"/>
      <c r="R22" s="1"/>
      <c r="S22" s="1"/>
      <c r="T22" s="1"/>
      <c r="U22" s="1"/>
      <c r="V22" s="1"/>
      <c r="W22" s="1"/>
      <c r="X22" s="1"/>
      <c r="Y22" s="1"/>
      <c r="Z22" s="1"/>
      <c r="AA22" s="1"/>
      <c r="AB22" s="1"/>
      <c r="AC22" s="1"/>
      <c r="AD22" s="1"/>
      <c r="AE22" s="1"/>
      <c r="AF22" s="1"/>
      <c r="AG22" s="1"/>
      <c r="AH22" s="1"/>
      <c r="AI22" s="1"/>
      <c r="AJ22" s="1"/>
      <c r="AK22" s="1"/>
    </row>
    <row r="23" spans="1:37">
      <c r="A23" s="4">
        <v>15</v>
      </c>
      <c r="B23" s="4" t="s">
        <v>65</v>
      </c>
      <c r="C23" s="4" t="s">
        <v>28</v>
      </c>
      <c r="D23" s="2" t="str">
        <f t="shared" si="0"/>
        <v>Toko Sirius</v>
      </c>
      <c r="E23" s="4" t="s">
        <v>42</v>
      </c>
      <c r="F23" s="2" t="str">
        <f t="shared" si="1"/>
        <v>Kopi Susu Kaleng</v>
      </c>
      <c r="G23" s="4">
        <v>16</v>
      </c>
      <c r="H23" s="21">
        <f t="shared" si="2"/>
        <v>9700</v>
      </c>
      <c r="I23" s="22">
        <f t="shared" si="3"/>
        <v>155200</v>
      </c>
      <c r="J23" s="20">
        <f t="shared" si="4"/>
        <v>7.0000000000000007E-2</v>
      </c>
      <c r="K23" s="2" t="str">
        <f t="shared" si="5"/>
        <v>Tumbler Premium</v>
      </c>
      <c r="L23" s="21">
        <f t="shared" si="6"/>
        <v>5000</v>
      </c>
      <c r="M23" s="22">
        <f t="shared" si="7"/>
        <v>139336</v>
      </c>
      <c r="N23" s="1"/>
      <c r="O23" s="1"/>
      <c r="P23" s="16" t="s">
        <v>66</v>
      </c>
      <c r="Q23" s="16"/>
      <c r="R23" s="16"/>
      <c r="S23" s="1"/>
      <c r="T23" s="1"/>
      <c r="U23" s="1"/>
      <c r="V23" s="1"/>
      <c r="W23" s="1"/>
      <c r="X23" s="1"/>
      <c r="Y23" s="1"/>
      <c r="Z23" s="1"/>
      <c r="AA23" s="1"/>
      <c r="AB23" s="1"/>
      <c r="AC23" s="1"/>
      <c r="AD23" s="1"/>
      <c r="AE23" s="1"/>
      <c r="AF23" s="1"/>
      <c r="AG23" s="1"/>
      <c r="AH23" s="1"/>
      <c r="AI23" s="1"/>
      <c r="AJ23" s="1"/>
      <c r="AK23" s="1"/>
    </row>
    <row r="24" spans="1:37">
      <c r="A24" s="4">
        <v>16</v>
      </c>
      <c r="B24" s="4" t="s">
        <v>67</v>
      </c>
      <c r="C24" s="4" t="s">
        <v>27</v>
      </c>
      <c r="D24" s="2" t="str">
        <f t="shared" si="0"/>
        <v>Toko Vega</v>
      </c>
      <c r="E24" s="4" t="s">
        <v>20</v>
      </c>
      <c r="F24" s="2" t="str">
        <f t="shared" si="1"/>
        <v>Jus Jeruk Fresh</v>
      </c>
      <c r="G24" s="4">
        <v>10</v>
      </c>
      <c r="H24" s="21">
        <f t="shared" si="2"/>
        <v>11500</v>
      </c>
      <c r="I24" s="22">
        <f t="shared" si="3"/>
        <v>115000</v>
      </c>
      <c r="J24" s="20">
        <f t="shared" si="4"/>
        <v>0.03</v>
      </c>
      <c r="K24" s="2" t="str">
        <f t="shared" si="5"/>
        <v>Payung Eksklusif</v>
      </c>
      <c r="L24" s="21">
        <f t="shared" si="6"/>
        <v>3000</v>
      </c>
      <c r="M24" s="22">
        <f t="shared" si="7"/>
        <v>108550</v>
      </c>
      <c r="N24" s="1"/>
      <c r="O24" s="1"/>
      <c r="P24" s="6" t="s">
        <v>68</v>
      </c>
      <c r="Q24" s="6" t="s">
        <v>69</v>
      </c>
      <c r="R24" s="6" t="s">
        <v>13</v>
      </c>
      <c r="S24" s="1"/>
      <c r="T24" s="1"/>
      <c r="U24" s="1"/>
      <c r="V24" s="1"/>
      <c r="W24" s="1"/>
      <c r="X24" s="1"/>
      <c r="Y24" s="1"/>
      <c r="Z24" s="1"/>
      <c r="AA24" s="1"/>
      <c r="AB24" s="1"/>
      <c r="AC24" s="1"/>
      <c r="AD24" s="1"/>
      <c r="AE24" s="1"/>
      <c r="AF24" s="1"/>
      <c r="AG24" s="1"/>
      <c r="AH24" s="1"/>
      <c r="AI24" s="1"/>
      <c r="AJ24" s="1"/>
      <c r="AK24" s="1"/>
    </row>
    <row r="25" spans="1:37">
      <c r="A25" s="4">
        <v>17</v>
      </c>
      <c r="B25" s="4" t="s">
        <v>70</v>
      </c>
      <c r="C25" s="4" t="s">
        <v>19</v>
      </c>
      <c r="D25" s="2" t="str">
        <f t="shared" si="0"/>
        <v>Toko Orion</v>
      </c>
      <c r="E25" s="4" t="s">
        <v>25</v>
      </c>
      <c r="F25" s="2" t="str">
        <f t="shared" si="1"/>
        <v>Teh Botol Premium</v>
      </c>
      <c r="G25" s="4">
        <v>13</v>
      </c>
      <c r="H25" s="21">
        <f t="shared" si="2"/>
        <v>8500</v>
      </c>
      <c r="I25" s="22">
        <f t="shared" si="3"/>
        <v>110500</v>
      </c>
      <c r="J25" s="20">
        <f t="shared" si="4"/>
        <v>7.0000000000000007E-2</v>
      </c>
      <c r="K25" s="2" t="str">
        <f t="shared" si="5"/>
        <v>Tumbler Premium</v>
      </c>
      <c r="L25" s="21">
        <f t="shared" si="6"/>
        <v>5000</v>
      </c>
      <c r="M25" s="22">
        <f t="shared" si="7"/>
        <v>97765</v>
      </c>
      <c r="N25" s="1"/>
      <c r="O25" s="1"/>
      <c r="P25" s="8">
        <v>1</v>
      </c>
      <c r="Q25" s="8">
        <v>10</v>
      </c>
      <c r="R25" s="10">
        <v>0.03</v>
      </c>
      <c r="S25" s="1"/>
      <c r="T25" s="1"/>
      <c r="U25" s="1"/>
      <c r="V25" s="1"/>
      <c r="W25" s="1"/>
      <c r="X25" s="1"/>
      <c r="Y25" s="1"/>
      <c r="Z25" s="1"/>
      <c r="AA25" s="1"/>
      <c r="AB25" s="1"/>
      <c r="AC25" s="1"/>
      <c r="AD25" s="1"/>
      <c r="AE25" s="1"/>
      <c r="AF25" s="1"/>
      <c r="AG25" s="1"/>
      <c r="AH25" s="1"/>
      <c r="AI25" s="1"/>
      <c r="AJ25" s="1"/>
      <c r="AK25" s="1"/>
    </row>
    <row r="26" spans="1:37">
      <c r="A26" s="4">
        <v>18</v>
      </c>
      <c r="B26" s="4" t="s">
        <v>71</v>
      </c>
      <c r="C26" s="4" t="s">
        <v>24</v>
      </c>
      <c r="D26" s="2" t="str">
        <f t="shared" si="0"/>
        <v>Toko Andromeda</v>
      </c>
      <c r="E26" s="4" t="s">
        <v>31</v>
      </c>
      <c r="F26" s="2" t="str">
        <f t="shared" si="1"/>
        <v>Minuman Energi</v>
      </c>
      <c r="G26" s="4">
        <v>24</v>
      </c>
      <c r="H26" s="21">
        <f t="shared" si="2"/>
        <v>13200</v>
      </c>
      <c r="I26" s="22">
        <f t="shared" si="3"/>
        <v>316800</v>
      </c>
      <c r="J26" s="20">
        <f t="shared" si="4"/>
        <v>0.12</v>
      </c>
      <c r="K26" s="2" t="str">
        <f t="shared" si="5"/>
        <v>Speaker Mini</v>
      </c>
      <c r="L26" s="21">
        <f t="shared" si="6"/>
        <v>8000</v>
      </c>
      <c r="M26" s="22">
        <f t="shared" si="7"/>
        <v>270784</v>
      </c>
      <c r="N26" s="1"/>
      <c r="O26" s="1"/>
      <c r="P26" s="8">
        <v>11</v>
      </c>
      <c r="Q26" s="8">
        <v>20</v>
      </c>
      <c r="R26" s="10">
        <v>7.0000000000000007E-2</v>
      </c>
      <c r="S26" s="1"/>
      <c r="T26" s="1"/>
      <c r="U26" s="1"/>
      <c r="V26" s="1"/>
      <c r="W26" s="1"/>
      <c r="X26" s="1"/>
      <c r="Y26" s="1"/>
      <c r="Z26" s="1"/>
      <c r="AA26" s="1"/>
      <c r="AB26" s="1"/>
      <c r="AC26" s="1"/>
      <c r="AD26" s="1"/>
      <c r="AE26" s="1"/>
      <c r="AF26" s="1"/>
      <c r="AG26" s="1"/>
      <c r="AH26" s="1"/>
      <c r="AI26" s="1"/>
      <c r="AJ26" s="1"/>
      <c r="AK26" s="1"/>
    </row>
    <row r="27" spans="1:37">
      <c r="A27" s="4">
        <v>19</v>
      </c>
      <c r="B27" s="4" t="s">
        <v>72</v>
      </c>
      <c r="C27" s="4" t="s">
        <v>28</v>
      </c>
      <c r="D27" s="2" t="str">
        <f t="shared" si="0"/>
        <v>Toko Sirius</v>
      </c>
      <c r="E27" s="4" t="s">
        <v>39</v>
      </c>
      <c r="F27" s="2" t="str">
        <f t="shared" si="1"/>
        <v>Air Mineral 600ml</v>
      </c>
      <c r="G27" s="4">
        <v>17</v>
      </c>
      <c r="H27" s="21">
        <f t="shared" si="2"/>
        <v>4800</v>
      </c>
      <c r="I27" s="22">
        <f t="shared" si="3"/>
        <v>81600</v>
      </c>
      <c r="J27" s="20">
        <f t="shared" si="4"/>
        <v>7.0000000000000007E-2</v>
      </c>
      <c r="K27" s="2" t="str">
        <f t="shared" si="5"/>
        <v>Tumbler Premium</v>
      </c>
      <c r="L27" s="21">
        <f t="shared" si="6"/>
        <v>5000</v>
      </c>
      <c r="M27" s="22">
        <f t="shared" si="7"/>
        <v>70888</v>
      </c>
      <c r="N27" s="1"/>
      <c r="O27" s="1"/>
      <c r="P27" s="8">
        <v>21</v>
      </c>
      <c r="Q27" s="8" t="s">
        <v>73</v>
      </c>
      <c r="R27" s="10">
        <v>0.12</v>
      </c>
      <c r="S27" s="1"/>
      <c r="T27" s="1"/>
      <c r="U27" s="1"/>
      <c r="V27" s="1"/>
      <c r="W27" s="1"/>
      <c r="X27" s="1"/>
      <c r="Y27" s="1"/>
      <c r="Z27" s="1"/>
      <c r="AA27" s="1"/>
      <c r="AB27" s="1"/>
      <c r="AC27" s="1"/>
      <c r="AD27" s="1"/>
      <c r="AE27" s="1"/>
      <c r="AF27" s="1"/>
      <c r="AG27" s="1"/>
      <c r="AH27" s="1"/>
      <c r="AI27" s="1"/>
      <c r="AJ27" s="1"/>
      <c r="AK27" s="1"/>
    </row>
    <row r="28" spans="1:37">
      <c r="A28" s="4">
        <v>20</v>
      </c>
      <c r="B28" s="4" t="s">
        <v>74</v>
      </c>
      <c r="C28" s="4" t="s">
        <v>27</v>
      </c>
      <c r="D28" s="2" t="str">
        <f t="shared" si="0"/>
        <v>Toko Vega</v>
      </c>
      <c r="E28" s="4" t="s">
        <v>42</v>
      </c>
      <c r="F28" s="2" t="str">
        <f t="shared" si="1"/>
        <v>Kopi Susu Kaleng</v>
      </c>
      <c r="G28" s="4">
        <v>4</v>
      </c>
      <c r="H28" s="21">
        <f t="shared" si="2"/>
        <v>9700</v>
      </c>
      <c r="I28" s="22">
        <f t="shared" si="3"/>
        <v>38800</v>
      </c>
      <c r="J28" s="20">
        <f t="shared" si="4"/>
        <v>0.03</v>
      </c>
      <c r="K28" s="2" t="str">
        <f t="shared" si="5"/>
        <v>Payung Eksklusif</v>
      </c>
      <c r="L28" s="21">
        <f t="shared" si="6"/>
        <v>3000</v>
      </c>
      <c r="M28" s="22">
        <f t="shared" si="7"/>
        <v>34636</v>
      </c>
      <c r="N28" s="1"/>
      <c r="O28" s="1"/>
      <c r="P28" s="1"/>
      <c r="Q28" s="1"/>
      <c r="R28" s="1"/>
      <c r="S28" s="1"/>
      <c r="T28" s="1"/>
      <c r="U28" s="1"/>
      <c r="V28" s="1"/>
      <c r="W28" s="1"/>
      <c r="X28" s="1"/>
      <c r="Y28" s="1"/>
      <c r="Z28" s="1"/>
      <c r="AA28" s="1"/>
      <c r="AB28" s="1"/>
      <c r="AC28" s="1"/>
      <c r="AD28" s="1"/>
      <c r="AE28" s="1"/>
      <c r="AF28" s="1"/>
      <c r="AG28" s="1"/>
      <c r="AH28" s="1"/>
      <c r="AI28" s="1"/>
      <c r="AJ28" s="1"/>
      <c r="AK28" s="1"/>
    </row>
    <row r="29" spans="1:37">
      <c r="A29" s="4">
        <v>21</v>
      </c>
      <c r="B29" s="4" t="s">
        <v>75</v>
      </c>
      <c r="C29" s="4" t="s">
        <v>19</v>
      </c>
      <c r="D29" s="2" t="str">
        <f t="shared" si="0"/>
        <v>Toko Orion</v>
      </c>
      <c r="E29" s="4" t="s">
        <v>20</v>
      </c>
      <c r="F29" s="2" t="str">
        <f t="shared" si="1"/>
        <v>Jus Jeruk Fresh</v>
      </c>
      <c r="G29" s="4">
        <v>20</v>
      </c>
      <c r="H29" s="21">
        <f t="shared" si="2"/>
        <v>11500</v>
      </c>
      <c r="I29" s="22">
        <f t="shared" si="3"/>
        <v>230000</v>
      </c>
      <c r="J29" s="20">
        <f t="shared" si="4"/>
        <v>7.0000000000000007E-2</v>
      </c>
      <c r="K29" s="2" t="str">
        <f t="shared" si="5"/>
        <v>Tumbler Premium</v>
      </c>
      <c r="L29" s="21">
        <f t="shared" si="6"/>
        <v>5000</v>
      </c>
      <c r="M29" s="22">
        <f t="shared" si="7"/>
        <v>208900</v>
      </c>
      <c r="N29" s="1"/>
      <c r="O29" s="1"/>
      <c r="P29" s="1"/>
      <c r="Q29" s="1"/>
      <c r="R29" s="1"/>
      <c r="S29" s="1"/>
      <c r="T29" s="1"/>
      <c r="U29" s="1"/>
      <c r="V29" s="1"/>
      <c r="W29" s="1"/>
      <c r="X29" s="1"/>
      <c r="Y29" s="1"/>
      <c r="Z29" s="1"/>
      <c r="AA29" s="1"/>
      <c r="AB29" s="1"/>
      <c r="AC29" s="1"/>
      <c r="AD29" s="1"/>
      <c r="AE29" s="1"/>
      <c r="AF29" s="1"/>
      <c r="AG29" s="1"/>
      <c r="AH29" s="1"/>
      <c r="AI29" s="1"/>
      <c r="AJ29" s="1"/>
      <c r="AK29" s="1"/>
    </row>
    <row r="30" spans="1:37">
      <c r="A30" s="4">
        <v>22</v>
      </c>
      <c r="B30" s="4" t="s">
        <v>76</v>
      </c>
      <c r="C30" s="4" t="s">
        <v>24</v>
      </c>
      <c r="D30" s="2" t="str">
        <f t="shared" si="0"/>
        <v>Toko Andromeda</v>
      </c>
      <c r="E30" s="4" t="s">
        <v>25</v>
      </c>
      <c r="F30" s="2" t="str">
        <f t="shared" si="1"/>
        <v>Teh Botol Premium</v>
      </c>
      <c r="G30" s="4">
        <v>23</v>
      </c>
      <c r="H30" s="21">
        <f t="shared" si="2"/>
        <v>8500</v>
      </c>
      <c r="I30" s="22">
        <f t="shared" si="3"/>
        <v>195500</v>
      </c>
      <c r="J30" s="20">
        <f t="shared" si="4"/>
        <v>0.12</v>
      </c>
      <c r="K30" s="2" t="str">
        <f t="shared" si="5"/>
        <v>Speaker Mini</v>
      </c>
      <c r="L30" s="21">
        <f t="shared" si="6"/>
        <v>8000</v>
      </c>
      <c r="M30" s="22">
        <f t="shared" si="7"/>
        <v>164040</v>
      </c>
      <c r="N30" s="1"/>
      <c r="O30" s="1"/>
      <c r="P30" s="1"/>
      <c r="Q30" s="1"/>
      <c r="R30" s="1"/>
      <c r="S30" s="1"/>
      <c r="T30" s="1"/>
      <c r="U30" s="1"/>
      <c r="V30" s="1"/>
      <c r="W30" s="1"/>
      <c r="X30" s="1"/>
      <c r="Y30" s="1"/>
      <c r="Z30" s="1"/>
      <c r="AA30" s="1"/>
      <c r="AB30" s="1"/>
      <c r="AC30" s="1"/>
      <c r="AD30" s="1"/>
      <c r="AE30" s="1"/>
      <c r="AF30" s="1"/>
      <c r="AG30" s="1"/>
      <c r="AH30" s="1"/>
      <c r="AI30" s="1"/>
      <c r="AJ30" s="1"/>
      <c r="AK30" s="1"/>
    </row>
    <row r="31" spans="1:37">
      <c r="A31" s="4">
        <v>23</v>
      </c>
      <c r="B31" s="4" t="s">
        <v>77</v>
      </c>
      <c r="C31" s="4" t="s">
        <v>28</v>
      </c>
      <c r="D31" s="2" t="str">
        <f t="shared" si="0"/>
        <v>Toko Sirius</v>
      </c>
      <c r="E31" s="4" t="s">
        <v>31</v>
      </c>
      <c r="F31" s="2" t="str">
        <f t="shared" si="1"/>
        <v>Minuman Energi</v>
      </c>
      <c r="G31" s="4">
        <v>9</v>
      </c>
      <c r="H31" s="21">
        <f t="shared" si="2"/>
        <v>13200</v>
      </c>
      <c r="I31" s="22">
        <f t="shared" si="3"/>
        <v>118800</v>
      </c>
      <c r="J31" s="20">
        <f t="shared" si="4"/>
        <v>0.03</v>
      </c>
      <c r="K31" s="2" t="str">
        <f t="shared" si="5"/>
        <v>Payung Eksklusif</v>
      </c>
      <c r="L31" s="21">
        <f t="shared" si="6"/>
        <v>3000</v>
      </c>
      <c r="M31" s="22">
        <f t="shared" si="7"/>
        <v>112236</v>
      </c>
      <c r="N31" s="1"/>
      <c r="O31" s="1"/>
      <c r="P31" s="1"/>
      <c r="Q31" s="1"/>
      <c r="R31" s="1"/>
      <c r="S31" s="1"/>
      <c r="T31" s="1"/>
      <c r="U31" s="1"/>
      <c r="V31" s="1"/>
      <c r="W31" s="1"/>
      <c r="X31" s="1"/>
      <c r="Y31" s="1"/>
      <c r="Z31" s="1"/>
      <c r="AA31" s="1"/>
      <c r="AB31" s="1"/>
      <c r="AC31" s="1"/>
      <c r="AD31" s="1"/>
      <c r="AE31" s="1"/>
      <c r="AF31" s="1"/>
      <c r="AG31" s="1"/>
      <c r="AH31" s="1"/>
      <c r="AI31" s="1"/>
      <c r="AJ31" s="1"/>
      <c r="AK31" s="1"/>
    </row>
    <row r="32" spans="1:37">
      <c r="A32" s="4">
        <v>24</v>
      </c>
      <c r="B32" s="4" t="s">
        <v>78</v>
      </c>
      <c r="C32" s="4" t="s">
        <v>27</v>
      </c>
      <c r="D32" s="2" t="str">
        <f t="shared" si="0"/>
        <v>Toko Vega</v>
      </c>
      <c r="E32" s="4" t="s">
        <v>39</v>
      </c>
      <c r="F32" s="2" t="str">
        <f t="shared" si="1"/>
        <v>Air Mineral 600ml</v>
      </c>
      <c r="G32" s="4">
        <v>15</v>
      </c>
      <c r="H32" s="21">
        <f t="shared" si="2"/>
        <v>4800</v>
      </c>
      <c r="I32" s="22">
        <f t="shared" si="3"/>
        <v>72000</v>
      </c>
      <c r="J32" s="20">
        <f t="shared" si="4"/>
        <v>7.0000000000000007E-2</v>
      </c>
      <c r="K32" s="2" t="str">
        <f t="shared" si="5"/>
        <v>Tumbler Premium</v>
      </c>
      <c r="L32" s="21">
        <f t="shared" si="6"/>
        <v>5000</v>
      </c>
      <c r="M32" s="22">
        <f t="shared" si="7"/>
        <v>61960</v>
      </c>
      <c r="N32" s="1"/>
      <c r="O32" s="1"/>
      <c r="P32" s="1"/>
      <c r="Q32" s="1"/>
      <c r="R32" s="1"/>
      <c r="S32" s="1"/>
      <c r="T32" s="1"/>
      <c r="U32" s="1"/>
      <c r="V32" s="1"/>
      <c r="W32" s="1"/>
      <c r="X32" s="1"/>
      <c r="Y32" s="1"/>
      <c r="Z32" s="1"/>
      <c r="AA32" s="1"/>
      <c r="AB32" s="1"/>
      <c r="AC32" s="1"/>
      <c r="AD32" s="1"/>
      <c r="AE32" s="1"/>
      <c r="AF32" s="1"/>
      <c r="AG32" s="1"/>
      <c r="AH32" s="1"/>
      <c r="AI32" s="1"/>
      <c r="AJ32" s="1"/>
      <c r="AK32" s="1"/>
    </row>
    <row r="33" spans="1:37">
      <c r="A33" s="4">
        <v>25</v>
      </c>
      <c r="B33" s="4" t="s">
        <v>79</v>
      </c>
      <c r="C33" s="4" t="s">
        <v>19</v>
      </c>
      <c r="D33" s="2" t="str">
        <f t="shared" si="0"/>
        <v>Toko Orion</v>
      </c>
      <c r="E33" s="4" t="s">
        <v>42</v>
      </c>
      <c r="F33" s="2" t="str">
        <f t="shared" si="1"/>
        <v>Kopi Susu Kaleng</v>
      </c>
      <c r="G33" s="4">
        <v>28</v>
      </c>
      <c r="H33" s="21">
        <f t="shared" si="2"/>
        <v>9700</v>
      </c>
      <c r="I33" s="22">
        <f t="shared" si="3"/>
        <v>271600</v>
      </c>
      <c r="J33" s="20">
        <f t="shared" si="4"/>
        <v>0.12</v>
      </c>
      <c r="K33" s="2" t="str">
        <f t="shared" si="5"/>
        <v>Speaker Mini</v>
      </c>
      <c r="L33" s="21">
        <f t="shared" si="6"/>
        <v>8000</v>
      </c>
      <c r="M33" s="22">
        <f t="shared" si="7"/>
        <v>231008</v>
      </c>
      <c r="N33" s="1"/>
      <c r="O33" s="1"/>
      <c r="P33" s="1"/>
      <c r="Q33" s="1"/>
      <c r="R33" s="1"/>
      <c r="S33" s="1"/>
      <c r="T33" s="1"/>
      <c r="U33" s="1"/>
      <c r="V33" s="1"/>
      <c r="W33" s="1"/>
      <c r="X33" s="1"/>
      <c r="Y33" s="1"/>
      <c r="Z33" s="1"/>
      <c r="AA33" s="1"/>
      <c r="AB33" s="1"/>
      <c r="AC33" s="1"/>
      <c r="AD33" s="1"/>
      <c r="AE33" s="1"/>
      <c r="AF33" s="1"/>
      <c r="AG33" s="1"/>
      <c r="AH33" s="1"/>
      <c r="AI33" s="1"/>
      <c r="AJ33" s="1"/>
      <c r="AK33" s="1"/>
    </row>
    <row r="34" spans="1:37">
      <c r="A34" s="4">
        <v>26</v>
      </c>
      <c r="B34" s="4" t="s">
        <v>80</v>
      </c>
      <c r="C34" s="4" t="s">
        <v>24</v>
      </c>
      <c r="D34" s="2" t="str">
        <f t="shared" si="0"/>
        <v>Toko Andromeda</v>
      </c>
      <c r="E34" s="4" t="s">
        <v>20</v>
      </c>
      <c r="F34" s="2" t="str">
        <f t="shared" si="1"/>
        <v>Jus Jeruk Fresh</v>
      </c>
      <c r="G34" s="4">
        <v>7</v>
      </c>
      <c r="H34" s="21">
        <f t="shared" si="2"/>
        <v>11500</v>
      </c>
      <c r="I34" s="22">
        <f t="shared" si="3"/>
        <v>80500</v>
      </c>
      <c r="J34" s="20">
        <f t="shared" si="4"/>
        <v>0.03</v>
      </c>
      <c r="K34" s="2" t="str">
        <f t="shared" si="5"/>
        <v>Payung Eksklusif</v>
      </c>
      <c r="L34" s="21">
        <f t="shared" si="6"/>
        <v>3000</v>
      </c>
      <c r="M34" s="22">
        <f t="shared" si="7"/>
        <v>75085</v>
      </c>
      <c r="N34" s="1"/>
      <c r="O34" s="1"/>
      <c r="P34" s="1"/>
      <c r="Q34" s="1"/>
      <c r="R34" s="1"/>
      <c r="S34" s="1"/>
      <c r="T34" s="1"/>
      <c r="U34" s="1"/>
      <c r="V34" s="1"/>
      <c r="W34" s="1"/>
      <c r="X34" s="1"/>
      <c r="Y34" s="1"/>
      <c r="Z34" s="1"/>
      <c r="AA34" s="1"/>
      <c r="AB34" s="1"/>
      <c r="AC34" s="1"/>
      <c r="AD34" s="1"/>
      <c r="AE34" s="1"/>
      <c r="AF34" s="1"/>
      <c r="AG34" s="1"/>
      <c r="AH34" s="1"/>
      <c r="AI34" s="1"/>
      <c r="AJ34" s="1"/>
      <c r="AK34" s="1"/>
    </row>
    <row r="35" spans="1:37">
      <c r="A35" s="4">
        <v>27</v>
      </c>
      <c r="B35" s="4" t="s">
        <v>81</v>
      </c>
      <c r="C35" s="4" t="s">
        <v>28</v>
      </c>
      <c r="D35" s="2" t="str">
        <f t="shared" si="0"/>
        <v>Toko Sirius</v>
      </c>
      <c r="E35" s="4" t="s">
        <v>25</v>
      </c>
      <c r="F35" s="2" t="str">
        <f t="shared" si="1"/>
        <v>Teh Botol Premium</v>
      </c>
      <c r="G35" s="4">
        <v>18</v>
      </c>
      <c r="H35" s="21">
        <f t="shared" si="2"/>
        <v>8500</v>
      </c>
      <c r="I35" s="22">
        <f t="shared" si="3"/>
        <v>153000</v>
      </c>
      <c r="J35" s="20">
        <f t="shared" si="4"/>
        <v>7.0000000000000007E-2</v>
      </c>
      <c r="K35" s="2" t="str">
        <f t="shared" si="5"/>
        <v>Tumbler Premium</v>
      </c>
      <c r="L35" s="21">
        <f t="shared" si="6"/>
        <v>5000</v>
      </c>
      <c r="M35" s="22">
        <f t="shared" si="7"/>
        <v>137290</v>
      </c>
      <c r="N35" s="1"/>
      <c r="O35" s="1"/>
      <c r="P35" s="1"/>
      <c r="Q35" s="1"/>
      <c r="R35" s="1"/>
      <c r="S35" s="1"/>
      <c r="T35" s="1"/>
      <c r="U35" s="1"/>
      <c r="V35" s="1"/>
      <c r="W35" s="1"/>
      <c r="X35" s="1"/>
      <c r="Y35" s="1"/>
      <c r="Z35" s="1"/>
      <c r="AA35" s="1"/>
      <c r="AB35" s="1"/>
      <c r="AC35" s="1"/>
      <c r="AD35" s="1"/>
      <c r="AE35" s="1"/>
      <c r="AF35" s="1"/>
      <c r="AG35" s="1"/>
      <c r="AH35" s="1"/>
      <c r="AI35" s="1"/>
      <c r="AJ35" s="1"/>
      <c r="AK35" s="1"/>
    </row>
    <row r="36" spans="1:37">
      <c r="A36" s="4">
        <v>28</v>
      </c>
      <c r="B36" s="4" t="s">
        <v>82</v>
      </c>
      <c r="C36" s="4" t="s">
        <v>27</v>
      </c>
      <c r="D36" s="2" t="str">
        <f t="shared" si="0"/>
        <v>Toko Vega</v>
      </c>
      <c r="E36" s="4" t="s">
        <v>31</v>
      </c>
      <c r="F36" s="2" t="str">
        <f t="shared" si="1"/>
        <v>Minuman Energi</v>
      </c>
      <c r="G36" s="4">
        <v>12</v>
      </c>
      <c r="H36" s="21">
        <f t="shared" si="2"/>
        <v>13200</v>
      </c>
      <c r="I36" s="22">
        <f t="shared" si="3"/>
        <v>158400</v>
      </c>
      <c r="J36" s="20">
        <f t="shared" si="4"/>
        <v>7.0000000000000007E-2</v>
      </c>
      <c r="K36" s="2" t="str">
        <f t="shared" si="5"/>
        <v>Tumbler Premium</v>
      </c>
      <c r="L36" s="21">
        <f t="shared" si="6"/>
        <v>5000</v>
      </c>
      <c r="M36" s="22">
        <f t="shared" si="7"/>
        <v>142312</v>
      </c>
      <c r="N36" s="1"/>
      <c r="O36" s="1"/>
      <c r="P36" s="1"/>
      <c r="Q36" s="1"/>
      <c r="R36" s="1"/>
      <c r="S36" s="1"/>
      <c r="T36" s="1"/>
      <c r="U36" s="1"/>
      <c r="V36" s="1"/>
      <c r="W36" s="1"/>
      <c r="X36" s="1"/>
      <c r="Y36" s="1"/>
      <c r="Z36" s="1"/>
      <c r="AA36" s="1"/>
      <c r="AB36" s="1"/>
      <c r="AC36" s="1"/>
      <c r="AD36" s="1"/>
      <c r="AE36" s="1"/>
      <c r="AF36" s="1"/>
      <c r="AG36" s="1"/>
      <c r="AH36" s="1"/>
      <c r="AI36" s="1"/>
      <c r="AJ36" s="1"/>
      <c r="AK36" s="1"/>
    </row>
    <row r="37" spans="1:37">
      <c r="A37" s="4">
        <v>29</v>
      </c>
      <c r="B37" s="4" t="s">
        <v>83</v>
      </c>
      <c r="C37" s="4" t="s">
        <v>19</v>
      </c>
      <c r="D37" s="2" t="str">
        <f t="shared" si="0"/>
        <v>Toko Orion</v>
      </c>
      <c r="E37" s="4" t="s">
        <v>39</v>
      </c>
      <c r="F37" s="2" t="str">
        <f t="shared" si="1"/>
        <v>Air Mineral 600ml</v>
      </c>
      <c r="G37" s="4">
        <v>26</v>
      </c>
      <c r="H37" s="21">
        <f t="shared" si="2"/>
        <v>4800</v>
      </c>
      <c r="I37" s="22">
        <f t="shared" si="3"/>
        <v>124800</v>
      </c>
      <c r="J37" s="20">
        <f t="shared" si="4"/>
        <v>0.12</v>
      </c>
      <c r="K37" s="2" t="str">
        <f t="shared" si="5"/>
        <v>Speaker Mini</v>
      </c>
      <c r="L37" s="21">
        <f t="shared" si="6"/>
        <v>8000</v>
      </c>
      <c r="M37" s="22">
        <f t="shared" si="7"/>
        <v>101824</v>
      </c>
      <c r="N37" s="1"/>
      <c r="O37" s="1"/>
      <c r="P37" s="1"/>
      <c r="Q37" s="1"/>
      <c r="R37" s="1"/>
      <c r="S37" s="1"/>
      <c r="T37" s="1"/>
      <c r="U37" s="1"/>
      <c r="V37" s="1"/>
      <c r="W37" s="1"/>
      <c r="X37" s="1"/>
      <c r="Y37" s="1"/>
      <c r="Z37" s="1"/>
      <c r="AA37" s="1"/>
      <c r="AB37" s="1"/>
      <c r="AC37" s="1"/>
      <c r="AD37" s="1"/>
      <c r="AE37" s="1"/>
      <c r="AF37" s="1"/>
      <c r="AG37" s="1"/>
      <c r="AH37" s="1"/>
      <c r="AI37" s="1"/>
      <c r="AJ37" s="1"/>
      <c r="AK37" s="1"/>
    </row>
    <row r="38" spans="1:37">
      <c r="A38" s="4">
        <v>30</v>
      </c>
      <c r="B38" s="4" t="s">
        <v>84</v>
      </c>
      <c r="C38" s="4" t="s">
        <v>24</v>
      </c>
      <c r="D38" s="2" t="str">
        <f t="shared" si="0"/>
        <v>Toko Andromeda</v>
      </c>
      <c r="E38" s="4" t="s">
        <v>42</v>
      </c>
      <c r="F38" s="2" t="str">
        <f t="shared" si="1"/>
        <v>Kopi Susu Kaleng</v>
      </c>
      <c r="G38" s="4">
        <v>14</v>
      </c>
      <c r="H38" s="21">
        <f t="shared" si="2"/>
        <v>9700</v>
      </c>
      <c r="I38" s="22">
        <f t="shared" si="3"/>
        <v>135800</v>
      </c>
      <c r="J38" s="20">
        <f t="shared" si="4"/>
        <v>7.0000000000000007E-2</v>
      </c>
      <c r="K38" s="2" t="str">
        <f t="shared" si="5"/>
        <v>Tumbler Premium</v>
      </c>
      <c r="L38" s="21">
        <f t="shared" si="6"/>
        <v>5000</v>
      </c>
      <c r="M38" s="22">
        <f t="shared" si="7"/>
        <v>121294</v>
      </c>
      <c r="N38" s="1"/>
      <c r="O38" s="1"/>
      <c r="P38" s="1"/>
      <c r="Q38" s="1"/>
      <c r="R38" s="1"/>
      <c r="S38" s="1"/>
      <c r="T38" s="1"/>
      <c r="U38" s="1"/>
      <c r="V38" s="1"/>
      <c r="W38" s="1"/>
      <c r="X38" s="1"/>
      <c r="Y38" s="1"/>
      <c r="Z38" s="1"/>
      <c r="AA38" s="1"/>
      <c r="AB38" s="1"/>
      <c r="AC38" s="1"/>
      <c r="AD38" s="1"/>
      <c r="AE38" s="1"/>
      <c r="AF38" s="1"/>
      <c r="AG38" s="1"/>
      <c r="AH38" s="1"/>
      <c r="AI38" s="1"/>
      <c r="AJ38" s="1"/>
      <c r="AK38" s="1"/>
    </row>
    <row r="39" spans="1:37">
      <c r="A39" s="1"/>
      <c r="B39" s="1"/>
      <c r="C39" s="1"/>
      <c r="D39" s="1"/>
      <c r="E39" s="1"/>
      <c r="F39" s="1"/>
      <c r="G39" s="1"/>
      <c r="H39" s="1"/>
      <c r="I39" s="1"/>
      <c r="J39" s="20"/>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spans="1:37">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spans="1:37">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1:37">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spans="1:37">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1:37">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1:3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spans="1:37">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spans="1:37">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spans="1:37">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1:37">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spans="1:37">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1:37">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1:37">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spans="1:3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spans="1:3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spans="1:37">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spans="1:37">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spans="1:37">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spans="1:37">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spans="1:37">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spans="1:37">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spans="1:3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sheetData>
  <mergeCells count="18">
    <mergeCell ref="P14:R14"/>
    <mergeCell ref="T14:U14"/>
    <mergeCell ref="Y17:AI17"/>
    <mergeCell ref="Y18:AI18"/>
    <mergeCell ref="P23:R23"/>
    <mergeCell ref="X13:X16"/>
    <mergeCell ref="Y13:AI16"/>
    <mergeCell ref="P9:T9"/>
    <mergeCell ref="Y9:AI9"/>
    <mergeCell ref="Y10:AI10"/>
    <mergeCell ref="Y11:AI11"/>
    <mergeCell ref="Y12:AI12"/>
    <mergeCell ref="A1:M1"/>
    <mergeCell ref="A2:M2"/>
    <mergeCell ref="A6:M6"/>
    <mergeCell ref="A7:M7"/>
    <mergeCell ref="X8:AI8"/>
    <mergeCell ref="A3: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123230063 Dewa</cp:lastModifiedBy>
  <dcterms:created xsi:type="dcterms:W3CDTF">2026-06-11T14:17:00Z</dcterms:created>
  <dcterms:modified xsi:type="dcterms:W3CDTF">2026-09-26T00:35:46Z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B9A22FC9BBAD6287016A2B6A442CB646_43</vt:lpwstr>
  </property>
  <property fmtid="{D5CDD505-2E9C-101B-9397-08002B2CF9AE}" pid="3" name="KSOProductBuildVer">
    <vt:lpwstr>1033-12.1.2.24819</vt:lpwstr>
  </property>
  <property fmtid="{D5CDD505-2E9C-101B-9397-08002B2CF9AE}" pid="4" name="CalculationRule">
    <vt:i4>0</vt:i4>
  </property>
</Properties>
</file>