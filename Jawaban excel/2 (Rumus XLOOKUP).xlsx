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ortfo\Jawaban excel\"/>
    </mc:Choice>
  </mc:AlternateContent>
  <xr:revisionPtr revIDLastSave="0" documentId="8_{AA25FBDF-5422-408C-BB20-F2C222AB83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waban" sheetId="1" r:id="rId1"/>
    <sheet name="So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2" l="1" a="1"/>
  <c r="Q22" i="2"/>
  <c r="Q23" i="2" a="1"/>
  <c r="Q23" i="2"/>
  <c r="Q24" i="2" a="1"/>
  <c r="Q24" i="2"/>
  <c r="Q25" i="2" a="1"/>
  <c r="Q25" i="2"/>
  <c r="Q26" i="2" a="1"/>
  <c r="Q26" i="2" s="1"/>
  <c r="Q27" i="2" a="1"/>
  <c r="Q27" i="2"/>
  <c r="Q28" i="2" a="1"/>
  <c r="Q28" i="2"/>
  <c r="Q29" i="2" a="1"/>
  <c r="Q29" i="2"/>
  <c r="Q30" i="2" a="1"/>
  <c r="Q30" i="2"/>
  <c r="Q31" i="2" a="1"/>
  <c r="Q31" i="2"/>
  <c r="Q21" i="2" a="1"/>
  <c r="Q21" i="2"/>
  <c r="Q21" i="1" a="1"/>
  <c r="Q21" i="1" s="1"/>
  <c r="Q22" i="1"/>
  <c r="Q23" i="1"/>
  <c r="Q24" i="1"/>
  <c r="Q25" i="1"/>
  <c r="M31" i="1"/>
  <c r="P31" i="1" s="1"/>
  <c r="M30" i="1"/>
  <c r="M29" i="1"/>
  <c r="M28" i="1"/>
  <c r="M27" i="1"/>
  <c r="M26" i="1"/>
  <c r="M25" i="1"/>
  <c r="M24" i="1"/>
  <c r="M23" i="1"/>
  <c r="M22" i="1"/>
  <c r="P22" i="1" s="1"/>
  <c r="P23" i="1"/>
  <c r="P24" i="1"/>
  <c r="P25" i="1"/>
  <c r="P26" i="1"/>
  <c r="P27" i="1"/>
  <c r="P30" i="1"/>
  <c r="M21" i="1"/>
  <c r="M21" i="2"/>
  <c r="P21" i="2" s="1"/>
  <c r="P22" i="2"/>
  <c r="P23" i="2"/>
  <c r="P24" i="2"/>
  <c r="P25" i="2"/>
  <c r="P26" i="2"/>
  <c r="P27" i="2"/>
  <c r="P28" i="2"/>
  <c r="P29" i="2"/>
  <c r="P30" i="2"/>
  <c r="P31" i="2"/>
  <c r="O22" i="2"/>
  <c r="O23" i="2"/>
  <c r="O24" i="2"/>
  <c r="O25" i="2"/>
  <c r="O26" i="2"/>
  <c r="O27" i="2"/>
  <c r="O28" i="2"/>
  <c r="O29" i="2"/>
  <c r="O30" i="2"/>
  <c r="O31" i="2"/>
  <c r="O21" i="2"/>
  <c r="N21" i="2"/>
  <c r="N22" i="2"/>
  <c r="N23" i="2"/>
  <c r="N24" i="2"/>
  <c r="N25" i="2"/>
  <c r="N26" i="2"/>
  <c r="N27" i="2"/>
  <c r="N28" i="2"/>
  <c r="N29" i="2"/>
  <c r="N30" i="2"/>
  <c r="N31" i="2"/>
  <c r="M22" i="2"/>
  <c r="M23" i="2"/>
  <c r="M24" i="2"/>
  <c r="M25" i="2"/>
  <c r="M26" i="2"/>
  <c r="M27" i="2"/>
  <c r="M28" i="2"/>
  <c r="M29" i="2"/>
  <c r="M30" i="2"/>
  <c r="M31" i="2"/>
  <c r="L22" i="2"/>
  <c r="L23" i="2"/>
  <c r="L24" i="2"/>
  <c r="L25" i="2"/>
  <c r="L26" i="2"/>
  <c r="L27" i="2"/>
  <c r="L28" i="2"/>
  <c r="L29" i="2"/>
  <c r="L30" i="2"/>
  <c r="L31" i="2"/>
  <c r="L21" i="2"/>
  <c r="K21" i="2"/>
  <c r="K22" i="2"/>
  <c r="K23" i="2"/>
  <c r="K24" i="2"/>
  <c r="K25" i="2"/>
  <c r="K26" i="2"/>
  <c r="K27" i="2"/>
  <c r="K28" i="2"/>
  <c r="K29" i="2"/>
  <c r="K30" i="2"/>
  <c r="K31" i="2"/>
  <c r="Q31" i="1"/>
  <c r="O31" i="1"/>
  <c r="L31" i="1"/>
  <c r="K31" i="1"/>
  <c r="Q30" i="1"/>
  <c r="O30" i="1"/>
  <c r="L30" i="1"/>
  <c r="K30" i="1"/>
  <c r="Q29" i="1"/>
  <c r="P29" i="1"/>
  <c r="O29" i="1"/>
  <c r="L29" i="1"/>
  <c r="K29" i="1"/>
  <c r="Q28" i="1"/>
  <c r="P28" i="1"/>
  <c r="O28" i="1"/>
  <c r="L28" i="1"/>
  <c r="K28" i="1"/>
  <c r="Q27" i="1"/>
  <c r="O27" i="1"/>
  <c r="L27" i="1"/>
  <c r="K27" i="1"/>
  <c r="Q26" i="1"/>
  <c r="O26" i="1"/>
  <c r="L26" i="1"/>
  <c r="K26" i="1"/>
  <c r="O25" i="1"/>
  <c r="L25" i="1"/>
  <c r="K25" i="1"/>
  <c r="O24" i="1"/>
  <c r="L24" i="1"/>
  <c r="K24" i="1"/>
  <c r="O23" i="1"/>
  <c r="L23" i="1"/>
  <c r="K23" i="1"/>
  <c r="O22" i="1"/>
  <c r="L22" i="1"/>
  <c r="K22" i="1"/>
  <c r="P21" i="1"/>
  <c r="O21" i="1"/>
  <c r="L21" i="1"/>
  <c r="K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<sst xmlns="http://schemas.openxmlformats.org/spreadsheetml/2006/main" count="342" uniqueCount="102">
  <si>
    <t>Optimalisasi Manajemen Data
melalui Implementasi Fungsi XLOOKUP</t>
  </si>
  <si>
    <t>Kasus - Sistem Rekap Gaji &amp; Kinerja Karyawan</t>
  </si>
  <si>
    <t>Ilustrasi Soal:</t>
  </si>
  <si>
    <r>
      <rPr>
        <sz val="11"/>
        <color theme="1"/>
        <rFont val="Calibri"/>
        <charset val="134"/>
      </rPr>
      <t xml:space="preserve">Kamu bekerja sebagai </t>
    </r>
    <r>
      <rPr>
        <b/>
        <sz val="11"/>
        <color theme="1"/>
        <rFont val="Calibri"/>
        <charset val="134"/>
      </rPr>
      <t>HR Analyst di PT Ruyi Data Nusantara</t>
    </r>
    <r>
      <rPr>
        <sz val="11"/>
        <color theme="1"/>
        <rFont val="Calibri"/>
        <charset val="134"/>
      </rPr>
      <t xml:space="preserve">.
Setiap akhir bulan, kamu diminta untuk membuat laporan rekap gaji karyawan berdasarkan:
- ID Karyawan
- Data jabatan dan grade
- Gaji pokok
- Tunjangan
- Bonus berdasarkan performa (KPI)
Masalahnya, tim HR hanya memberikan </t>
    </r>
    <r>
      <rPr>
        <b/>
        <sz val="11"/>
        <color theme="1"/>
        <rFont val="Calibri"/>
        <charset val="134"/>
      </rPr>
      <t>ID karyawan saja</t>
    </r>
    <r>
      <rPr>
        <sz val="11"/>
        <color theme="1"/>
        <rFont val="Calibri"/>
        <charset val="134"/>
      </rPr>
      <t>, sehingga kamu harus menarik data lainnya dari</t>
    </r>
    <r>
      <rPr>
        <b/>
        <sz val="11"/>
        <color theme="1"/>
        <rFont val="Calibri"/>
        <charset val="134"/>
      </rPr>
      <t xml:space="preserve"> Master Data</t>
    </r>
    <r>
      <rPr>
        <sz val="11"/>
        <color theme="1"/>
        <rFont val="Calibri"/>
        <charset val="134"/>
      </rPr>
      <t xml:space="preserve"> menggunakan fungsi </t>
    </r>
    <r>
      <rPr>
        <b/>
        <sz val="11"/>
        <color theme="1"/>
        <rFont val="Calibri"/>
        <charset val="134"/>
      </rPr>
      <t>XLOOKUP</t>
    </r>
    <r>
      <rPr>
        <sz val="11"/>
        <color theme="1"/>
        <rFont val="Calibri"/>
        <charset val="134"/>
      </rPr>
      <t>.</t>
    </r>
  </si>
  <si>
    <t>Gunakan tabel berikut sebagai referensi utama/tabel bantu:</t>
  </si>
  <si>
    <t>MASTER DATA KARYAWAN</t>
  </si>
  <si>
    <t>JAWABAN</t>
  </si>
  <si>
    <t>ID</t>
  </si>
  <si>
    <t>Nama Karyawan</t>
  </si>
  <si>
    <t>Jabatan</t>
  </si>
  <si>
    <t>Grade</t>
  </si>
  <si>
    <t>Gaji Pokok</t>
  </si>
  <si>
    <t>Tunjangan</t>
  </si>
  <si>
    <t>Skor KPI</t>
  </si>
  <si>
    <t>Bonus</t>
  </si>
  <si>
    <t>ID Karyawan</t>
  </si>
  <si>
    <t>Total Gaji</t>
  </si>
  <si>
    <t>Status Kinerja</t>
  </si>
  <si>
    <t>K001</t>
  </si>
  <si>
    <t>Loka Wiranta</t>
  </si>
  <si>
    <t>Staff</t>
  </si>
  <si>
    <t>G1</t>
  </si>
  <si>
    <t>K003</t>
  </si>
  <si>
    <t>K002</t>
  </si>
  <si>
    <t>Hana Lin</t>
  </si>
  <si>
    <t>G2</t>
  </si>
  <si>
    <t>K007</t>
  </si>
  <si>
    <t>Sanita Velora</t>
  </si>
  <si>
    <t>Supervisor</t>
  </si>
  <si>
    <t>G3</t>
  </si>
  <si>
    <t>K011</t>
  </si>
  <si>
    <t>K004</t>
  </si>
  <si>
    <t>Vanya Ruselina</t>
  </si>
  <si>
    <t>K015</t>
  </si>
  <si>
    <t>K005</t>
  </si>
  <si>
    <t>Reza Tarmoko</t>
  </si>
  <si>
    <t>Manager</t>
  </si>
  <si>
    <t>G4</t>
  </si>
  <si>
    <t>K021</t>
  </si>
  <si>
    <t>K006</t>
  </si>
  <si>
    <t>Dargo Mawesta</t>
  </si>
  <si>
    <t>K025</t>
  </si>
  <si>
    <t>Tisya Avendra</t>
  </si>
  <si>
    <t>K030</t>
  </si>
  <si>
    <t>K008</t>
  </si>
  <si>
    <t>Karyo Limantara</t>
  </si>
  <si>
    <t>K009</t>
  </si>
  <si>
    <t>Jefro Malantara</t>
  </si>
  <si>
    <t>K010</t>
  </si>
  <si>
    <t>Binar Kendarta</t>
  </si>
  <si>
    <t>Chika Yuresta</t>
  </si>
  <si>
    <t>K012</t>
  </si>
  <si>
    <t>Mei Zhang</t>
  </si>
  <si>
    <t>K013</t>
  </si>
  <si>
    <t>Liu Shishi</t>
  </si>
  <si>
    <t>K014</t>
  </si>
  <si>
    <t>Zhang Rounan</t>
  </si>
  <si>
    <t>INSTRUKSI SOAL</t>
  </si>
  <si>
    <t>Song Zuer</t>
  </si>
  <si>
    <t>Soal 1: Sinkronisasi Identitas Karyawan</t>
  </si>
  <si>
    <t>K016</t>
  </si>
  <si>
    <t>Varo Ghantira</t>
  </si>
  <si>
    <r>
      <rPr>
        <b/>
        <sz val="11"/>
        <color theme="1"/>
        <rFont val="Calibri"/>
        <charset val="134"/>
      </rPr>
      <t>Instruksi:</t>
    </r>
    <r>
      <rPr>
        <sz val="11"/>
        <color theme="1"/>
        <rFont val="Calibri"/>
        <charset val="134"/>
      </rPr>
      <t xml:space="preserve"> Isi kolom </t>
    </r>
    <r>
      <rPr>
        <b/>
        <sz val="11"/>
        <color theme="1"/>
        <rFont val="Calibri"/>
        <charset val="134"/>
      </rPr>
      <t>Nama Karyawan</t>
    </r>
    <r>
      <rPr>
        <sz val="11"/>
        <color theme="1"/>
        <rFont val="Calibri"/>
        <charset val="134"/>
      </rPr>
      <t xml:space="preserve">, </t>
    </r>
    <r>
      <rPr>
        <b/>
        <sz val="11"/>
        <color theme="1"/>
        <rFont val="Calibri"/>
        <charset val="134"/>
      </rPr>
      <t xml:space="preserve">Jabatan </t>
    </r>
    <r>
      <rPr>
        <sz val="11"/>
        <color theme="1"/>
        <rFont val="Calibri"/>
        <charset val="134"/>
      </rPr>
      <t>dan</t>
    </r>
    <r>
      <rPr>
        <b/>
        <sz val="11"/>
        <color theme="1"/>
        <rFont val="Calibri"/>
        <charset val="134"/>
      </rPr>
      <t xml:space="preserve"> Bonus</t>
    </r>
    <r>
      <rPr>
        <sz val="11"/>
        <color theme="1"/>
        <rFont val="Calibri"/>
        <charset val="134"/>
      </rPr>
      <t xml:space="preserve"> berdasarkan ID Karyawan.</t>
    </r>
  </si>
  <si>
    <t>K017</t>
  </si>
  <si>
    <t>Zhang Yunlong</t>
  </si>
  <si>
    <r>
      <rPr>
        <b/>
        <sz val="11"/>
        <color theme="1"/>
        <rFont val="Calibri"/>
        <charset val="134"/>
      </rPr>
      <t>Ketentuan:</t>
    </r>
    <r>
      <rPr>
        <sz val="11"/>
        <color theme="1"/>
        <rFont val="Calibri"/>
        <charset val="134"/>
      </rPr>
      <t xml:space="preserve"> Gunakan satu rumus XLOOKUP untuk Nama, Jabatan dan Bonus. Karena data dipastikan ada, fokuslah pada penggunaan </t>
    </r>
    <r>
      <rPr>
        <b/>
        <sz val="11"/>
        <color theme="1"/>
        <rFont val="Calibri"/>
        <charset val="134"/>
      </rPr>
      <t xml:space="preserve">Absolute Reference ($) </t>
    </r>
    <r>
      <rPr>
        <sz val="11"/>
        <color theme="1"/>
        <rFont val="Calibri"/>
        <charset val="134"/>
      </rPr>
      <t>agar range Master Data tidak bergeser saat rumus disalin ke bawah.</t>
    </r>
  </si>
  <si>
    <t>K018</t>
  </si>
  <si>
    <t>Bai Jinting</t>
  </si>
  <si>
    <t>K019</t>
  </si>
  <si>
    <t>Liu Yuning</t>
  </si>
  <si>
    <r>
      <rPr>
        <b/>
        <sz val="11"/>
        <color theme="1"/>
        <rFont val="Calibri"/>
        <charset val="134"/>
      </rPr>
      <t>Logika:</t>
    </r>
    <r>
      <rPr>
        <sz val="11"/>
        <color theme="1"/>
        <rFont val="Calibri"/>
        <charset val="134"/>
      </rPr>
      <t xml:space="preserve"> Menghubungkan sel input ID dengan kolom Nama/Jabatan/Bonus di Master Data.</t>
    </r>
  </si>
  <si>
    <t>K020</t>
  </si>
  <si>
    <t>Selvi Maharentiya</t>
  </si>
  <si>
    <t>Soal 2: Penarikan Data Massal (Spilling Feature)</t>
  </si>
  <si>
    <t>Ethan Challister</t>
  </si>
  <si>
    <r>
      <rPr>
        <b/>
        <sz val="11"/>
        <color theme="1"/>
        <rFont val="Calibri"/>
        <charset val="134"/>
      </rPr>
      <t>Instruksi:</t>
    </r>
    <r>
      <rPr>
        <sz val="11"/>
        <color theme="1"/>
        <rFont val="Calibri"/>
        <charset val="134"/>
      </rPr>
      <t xml:space="preserve"> Isi kolom</t>
    </r>
    <r>
      <rPr>
        <b/>
        <sz val="11"/>
        <color theme="1"/>
        <rFont val="Calibri"/>
        <charset val="134"/>
      </rPr>
      <t xml:space="preserve"> Gaji Pokok</t>
    </r>
    <r>
      <rPr>
        <sz val="11"/>
        <color theme="1"/>
        <rFont val="Calibri"/>
        <charset val="134"/>
      </rPr>
      <t xml:space="preserve"> dan </t>
    </r>
    <r>
      <rPr>
        <b/>
        <sz val="11"/>
        <color theme="1"/>
        <rFont val="Calibri"/>
        <charset val="134"/>
      </rPr>
      <t>Tunjangan</t>
    </r>
    <r>
      <rPr>
        <sz val="11"/>
        <color theme="1"/>
        <rFont val="Calibri"/>
        <charset val="134"/>
      </rPr>
      <t xml:space="preserve"> sekaligus.</t>
    </r>
  </si>
  <si>
    <t>K022</t>
  </si>
  <si>
    <t>Deno Abhyaka</t>
  </si>
  <si>
    <r>
      <rPr>
        <b/>
        <sz val="11"/>
        <color theme="1"/>
        <rFont val="Calibri"/>
        <charset val="134"/>
      </rPr>
      <t>Ketentuan:</t>
    </r>
    <r>
      <rPr>
        <sz val="11"/>
        <color theme="1"/>
        <rFont val="Calibri"/>
        <charset val="134"/>
      </rPr>
      <t xml:space="preserve"> Kamu </t>
    </r>
    <r>
      <rPr>
        <b/>
        <sz val="11"/>
        <color theme="1"/>
        <rFont val="Calibri"/>
        <charset val="134"/>
      </rPr>
      <t>dilarang</t>
    </r>
    <r>
      <rPr>
        <sz val="11"/>
        <color theme="1"/>
        <rFont val="Calibri"/>
        <charset val="134"/>
      </rPr>
      <t xml:space="preserve"> membuat rumus terpisah di tiap kolom. Buatlah</t>
    </r>
    <r>
      <rPr>
        <b/>
        <sz val="11"/>
        <color theme="1"/>
        <rFont val="Calibri"/>
        <charset val="134"/>
      </rPr>
      <t xml:space="preserve"> satu rumus XLOOKUP</t>
    </r>
    <r>
      <rPr>
        <sz val="11"/>
        <color theme="1"/>
        <rFont val="Calibri"/>
        <charset val="134"/>
      </rPr>
      <t xml:space="preserve"> di kolom Gaji Pokok, lalu manfaatkan fitur </t>
    </r>
    <r>
      <rPr>
        <i/>
        <sz val="11"/>
        <color theme="1"/>
        <rFont val="Calibri"/>
        <charset val="134"/>
      </rPr>
      <t>Array</t>
    </r>
    <r>
      <rPr>
        <sz val="11"/>
        <color theme="1"/>
        <rFont val="Calibri"/>
        <charset val="134"/>
      </rPr>
      <t xml:space="preserve"> agar data Tunjangan otomatis terisi.</t>
    </r>
  </si>
  <si>
    <t>K023</t>
  </si>
  <si>
    <t>Linda Serwasti</t>
  </si>
  <si>
    <t>K024</t>
  </si>
  <si>
    <t>Calvin Trasmoko</t>
  </si>
  <si>
    <r>
      <rPr>
        <b/>
        <sz val="11"/>
        <color theme="1"/>
        <rFont val="Calibri"/>
        <charset val="134"/>
      </rPr>
      <t>Logika:</t>
    </r>
    <r>
      <rPr>
        <sz val="11"/>
        <color theme="1"/>
        <rFont val="Calibri"/>
        <charset val="134"/>
      </rPr>
      <t xml:space="preserve"> Mengarahkan</t>
    </r>
    <r>
      <rPr>
        <i/>
        <sz val="11"/>
        <color theme="1"/>
        <rFont val="Calibri"/>
        <charset val="134"/>
      </rPr>
      <t xml:space="preserve"> return_array</t>
    </r>
    <r>
      <rPr>
        <sz val="11"/>
        <color theme="1"/>
        <rFont val="Calibri"/>
        <charset val="134"/>
      </rPr>
      <t xml:space="preserve"> ke rentang kolom E sampai F di Master Data.</t>
    </r>
  </si>
  <si>
    <t>Yavita Orlenza</t>
  </si>
  <si>
    <t>Soal 3: Kalkulasi Pendapatan Akhir</t>
  </si>
  <si>
    <t>K026</t>
  </si>
  <si>
    <t>Galan Merdana</t>
  </si>
  <si>
    <r>
      <rPr>
        <b/>
        <sz val="11"/>
        <color theme="1"/>
        <rFont val="Calibri"/>
        <charset val="134"/>
      </rPr>
      <t>Instruksi:</t>
    </r>
    <r>
      <rPr>
        <sz val="11"/>
        <color theme="1"/>
        <rFont val="Calibri"/>
        <charset val="134"/>
      </rPr>
      <t xml:space="preserve"> Hitung </t>
    </r>
    <r>
      <rPr>
        <b/>
        <sz val="11"/>
        <color theme="1"/>
        <rFont val="Calibri"/>
        <charset val="134"/>
      </rPr>
      <t>Total Gaji</t>
    </r>
    <r>
      <rPr>
        <sz val="11"/>
        <color theme="1"/>
        <rFont val="Calibri"/>
        <charset val="134"/>
      </rPr>
      <t xml:space="preserve"> untuk setiap karyawan.</t>
    </r>
  </si>
  <si>
    <t>K027</t>
  </si>
  <si>
    <t>Syifa Antavera</t>
  </si>
  <si>
    <r>
      <rPr>
        <b/>
        <sz val="11"/>
        <color theme="1"/>
        <rFont val="Calibri"/>
        <charset val="134"/>
      </rPr>
      <t>Ketentuan:</t>
    </r>
    <r>
      <rPr>
        <sz val="11"/>
        <color theme="1"/>
        <rFont val="Calibri"/>
        <charset val="134"/>
      </rPr>
      <t xml:space="preserve"> Gunakan rumus penjumlahan sederhana: </t>
    </r>
    <r>
      <rPr>
        <b/>
        <sz val="11"/>
        <color theme="1"/>
        <rFont val="Calibri"/>
        <charset val="134"/>
      </rPr>
      <t>Gaji Pokok + Tunjangan + Bonus</t>
    </r>
    <r>
      <rPr>
        <sz val="11"/>
        <color theme="1"/>
        <rFont val="Calibri"/>
        <charset val="134"/>
      </rPr>
      <t>.</t>
    </r>
  </si>
  <si>
    <t>K028</t>
  </si>
  <si>
    <t>Nira Zalindra</t>
  </si>
  <si>
    <r>
      <rPr>
        <b/>
        <sz val="11"/>
        <color theme="1"/>
        <rFont val="Calibri"/>
        <charset val="134"/>
      </rPr>
      <t>Tujuan:</t>
    </r>
    <r>
      <rPr>
        <sz val="11"/>
        <color theme="1"/>
        <rFont val="Calibri"/>
        <charset val="134"/>
      </rPr>
      <t xml:space="preserve"> Memvalidasi bahwa data angka yang ditarik dari fungsi XLOOKUP sudah benar dan bisa dioperasikan secara matematis.</t>
    </r>
  </si>
  <si>
    <t>K029</t>
  </si>
  <si>
    <t>Liam Hargrove</t>
  </si>
  <si>
    <t>Soal 4: Labeling Status Kinerja (Logic Integration)</t>
  </si>
  <si>
    <t>Yichen Luo</t>
  </si>
  <si>
    <r>
      <rPr>
        <b/>
        <sz val="11"/>
        <color theme="1"/>
        <rFont val="Calibri"/>
        <charset val="134"/>
      </rPr>
      <t>Instruksi:</t>
    </r>
    <r>
      <rPr>
        <sz val="11"/>
        <color theme="1"/>
        <rFont val="Calibri"/>
        <charset val="134"/>
      </rPr>
      <t xml:space="preserve"> Tentukan </t>
    </r>
    <r>
      <rPr>
        <b/>
        <sz val="11"/>
        <color theme="1"/>
        <rFont val="Calibri"/>
        <charset val="134"/>
      </rPr>
      <t>Status Kinerja</t>
    </r>
    <r>
      <rPr>
        <sz val="11"/>
        <color theme="1"/>
        <rFont val="Calibri"/>
        <charset val="134"/>
      </rPr>
      <t xml:space="preserve"> karyawan secara otomatis berdasarkan </t>
    </r>
    <r>
      <rPr>
        <b/>
        <sz val="11"/>
        <color theme="1"/>
        <rFont val="Calibri"/>
        <charset val="134"/>
      </rPr>
      <t xml:space="preserve">Skor KPI </t>
    </r>
    <r>
      <rPr>
        <sz val="11"/>
        <color theme="1"/>
        <rFont val="Calibri"/>
        <charset val="134"/>
      </rPr>
      <t>yang ada di Master Data.</t>
    </r>
  </si>
  <si>
    <r>
      <rPr>
        <b/>
        <sz val="11"/>
        <color theme="1"/>
        <rFont val="Calibri"/>
        <charset val="134"/>
      </rPr>
      <t xml:space="preserve">Ketentuan: </t>
    </r>
    <r>
      <rPr>
        <sz val="11"/>
        <color theme="1"/>
        <rFont val="Calibri"/>
        <charset val="134"/>
      </rPr>
      <t xml:space="preserve">Gunakan kombinasi </t>
    </r>
    <r>
      <rPr>
        <b/>
        <sz val="11"/>
        <color theme="1"/>
        <rFont val="Calibri"/>
        <charset val="134"/>
      </rPr>
      <t>IFS</t>
    </r>
    <r>
      <rPr>
        <sz val="11"/>
        <color theme="1"/>
        <rFont val="Calibri"/>
        <charset val="134"/>
      </rPr>
      <t xml:space="preserve"> dan </t>
    </r>
    <r>
      <rPr>
        <b/>
        <sz val="11"/>
        <color theme="1"/>
        <rFont val="Calibri"/>
        <charset val="134"/>
      </rPr>
      <t>XLOOKUP</t>
    </r>
    <r>
      <rPr>
        <sz val="11"/>
        <color theme="1"/>
        <rFont val="Calibri"/>
        <charset val="134"/>
      </rPr>
      <t xml:space="preserve">. Status harus muncul berdasarkan kriteria:
- KPI &gt;= 90: </t>
    </r>
    <r>
      <rPr>
        <b/>
        <sz val="11"/>
        <color theme="1"/>
        <rFont val="Calibri"/>
        <charset val="134"/>
      </rPr>
      <t>"Sangat Baik"</t>
    </r>
    <r>
      <rPr>
        <sz val="11"/>
        <color theme="1"/>
        <rFont val="Calibri"/>
        <charset val="134"/>
      </rPr>
      <t xml:space="preserve">
- KPI &gt;= 80: </t>
    </r>
    <r>
      <rPr>
        <b/>
        <sz val="11"/>
        <color theme="1"/>
        <rFont val="Calibri"/>
        <charset val="134"/>
      </rPr>
      <t>"Baik"</t>
    </r>
    <r>
      <rPr>
        <sz val="11"/>
        <color theme="1"/>
        <rFont val="Calibri"/>
        <charset val="134"/>
      </rPr>
      <t xml:space="preserve">
- KPI &lt; 80:</t>
    </r>
    <r>
      <rPr>
        <b/>
        <sz val="11"/>
        <color theme="1"/>
        <rFont val="Calibri"/>
        <charset val="134"/>
      </rPr>
      <t xml:space="preserve"> "Perlu Evaluasi"</t>
    </r>
  </si>
  <si>
    <r>
      <rPr>
        <b/>
        <sz val="11"/>
        <color theme="1"/>
        <rFont val="Calibri"/>
        <charset val="134"/>
      </rPr>
      <t>Logika:</t>
    </r>
    <r>
      <rPr>
        <sz val="11"/>
        <color theme="1"/>
        <rFont val="Calibri"/>
        <charset val="134"/>
      </rPr>
      <t xml:space="preserve"> XLOOKUP berfungsi sebagai "kurir" yang mengambil angka skor KPI, lalu IFS memberikan "label" statusnya.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</si>
</sst>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p&quot;* #,##0.00_-;\-&quot;Rp&quot;* #,##0.00_-;_-&quot;Rp&quot;* &quot;-&quot;??_-;_-@_-"/>
    <numFmt numFmtId="166" formatCode="_-&quot;Rp&quot;* #,##0_-;\-&quot;Rp&quot;* #,##0_-;_-&quot;Rp&quot;* &quot;-&quot;??_-;_-@_-"/>
    <numFmt numFmtId="167" formatCode="_(&quot;Rp&quot;* #,##0_);_(&quot;Rp&quot;* \(#,##0\);_(&quot;Rp&quot;* &quot;-&quot;_);_(@_)"/>
  </numFmts>
  <fonts count="7">
    <font>
      <sz val="10"/>
      <color rgb="FF000000"/>
      <name val="Arial"/>
      <charset val="134"/>
      <scheme val="minor"/>
    </font>
    <font>
      <b/>
      <sz val="18"/>
      <color theme="1"/>
      <name val="Calibri"/>
      <charset val="134"/>
    </font>
    <font>
      <sz val="10"/>
      <name val="Arial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sz val="11"/>
      <color rgb="FFFFFFFF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FFFEA"/>
        <bgColor rgb="FFEFFFEA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vertical="center"/>
    </xf>
    <xf numFmtId="0" fontId="6" fillId="5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9" xfId="0" applyFont="1" applyFill="1" applyBorder="1"/>
    <xf numFmtId="167" fontId="3" fillId="6" borderId="9" xfId="0" applyNumberFormat="1" applyFont="1" applyFill="1" applyBorder="1"/>
    <xf numFmtId="0" fontId="4" fillId="8" borderId="9" xfId="0" applyFont="1" applyFill="1" applyBorder="1" applyAlignment="1">
      <alignment horizontal="center"/>
    </xf>
    <xf numFmtId="0" fontId="3" fillId="0" borderId="9" xfId="0" applyFont="1" applyBorder="1"/>
    <xf numFmtId="0" fontId="3" fillId="6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7" fontId="3" fillId="0" borderId="9" xfId="0" applyNumberFormat="1" applyFont="1" applyBorder="1"/>
    <xf numFmtId="0" fontId="4" fillId="2" borderId="2" xfId="0" applyFont="1" applyFill="1" applyBorder="1" applyAlignment="1">
      <alignment vertical="center"/>
    </xf>
    <xf numFmtId="0" fontId="2" fillId="0" borderId="3" xfId="0" applyFont="1" applyBorder="1"/>
    <xf numFmtId="0" fontId="2" fillId="0" borderId="10" xfId="0" applyFont="1" applyBorder="1"/>
    <xf numFmtId="0" fontId="4" fillId="3" borderId="2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0" borderId="4" xfId="0" applyFont="1" applyBorder="1" applyAlignment="1">
      <alignment vertical="center" wrapText="1"/>
    </xf>
    <xf numFmtId="0" fontId="2" fillId="0" borderId="5" xfId="0" applyFont="1" applyBorder="1"/>
    <xf numFmtId="0" fontId="2" fillId="0" borderId="11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44" fontId="3" fillId="0" borderId="9" xfId="0" applyNumberFormat="1" applyFont="1" applyBorder="1"/>
    <xf numFmtId="166" fontId="3" fillId="0" borderId="9" xfId="0" applyNumberFormat="1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1/sharedlinks" Target="NUL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opLeftCell="B4" workbookViewId="0">
      <selection activeCell="Q25" sqref="Q25"/>
    </sheetView>
  </sheetViews>
  <sheetFormatPr defaultColWidth="12.6640625" defaultRowHeight="15.75" customHeight="1"/>
  <cols>
    <col min="1" max="1" width="5.21875" customWidth="1"/>
    <col min="2" max="2" width="14.21875" customWidth="1"/>
    <col min="3" max="3" width="8.88671875" customWidth="1"/>
    <col min="4" max="4" width="5.6640625" customWidth="1"/>
    <col min="5" max="6" width="14.88671875" customWidth="1"/>
    <col min="7" max="7" width="7.21875" customWidth="1"/>
    <col min="8" max="8" width="15.21875" customWidth="1"/>
    <col min="9" max="9" width="5.88671875" customWidth="1"/>
    <col min="10" max="10" width="11.109375" customWidth="1"/>
    <col min="11" max="11" width="13.33203125" customWidth="1"/>
    <col min="12" max="12" width="8.88671875" customWidth="1"/>
    <col min="13" max="13" width="22.5546875" customWidth="1"/>
    <col min="14" max="15" width="14.33203125" customWidth="1"/>
    <col min="16" max="16" width="18.6640625" customWidth="1"/>
    <col min="17" max="17" width="11.5546875" customWidth="1"/>
  </cols>
  <sheetData>
    <row r="1" spans="1:26" ht="15.75" customHeight="1">
      <c r="A1" s="23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2" t="s">
        <v>1</v>
      </c>
      <c r="B6" s="13"/>
      <c r="C6" s="13"/>
      <c r="D6" s="13"/>
      <c r="E6" s="13"/>
      <c r="F6" s="13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5" t="s">
        <v>2</v>
      </c>
      <c r="B7" s="13"/>
      <c r="C7" s="13"/>
      <c r="D7" s="13"/>
      <c r="E7" s="13"/>
      <c r="F7" s="13"/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5" t="s">
        <v>3</v>
      </c>
      <c r="B8" s="26"/>
      <c r="C8" s="26"/>
      <c r="D8" s="26"/>
      <c r="E8" s="26"/>
      <c r="F8" s="26"/>
      <c r="G8" s="26"/>
      <c r="H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8"/>
      <c r="B9" s="17"/>
      <c r="C9" s="17"/>
      <c r="D9" s="17"/>
      <c r="E9" s="17"/>
      <c r="F9" s="17"/>
      <c r="G9" s="17"/>
      <c r="H9" s="2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8"/>
      <c r="B10" s="17"/>
      <c r="C10" s="17"/>
      <c r="D10" s="17"/>
      <c r="E10" s="17"/>
      <c r="F10" s="17"/>
      <c r="G10" s="17"/>
      <c r="H10" s="2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8"/>
      <c r="B11" s="17"/>
      <c r="C11" s="17"/>
      <c r="D11" s="17"/>
      <c r="E11" s="17"/>
      <c r="F11" s="17"/>
      <c r="G11" s="17"/>
      <c r="H11" s="2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8"/>
      <c r="B12" s="17"/>
      <c r="C12" s="17"/>
      <c r="D12" s="17"/>
      <c r="E12" s="17"/>
      <c r="F12" s="17"/>
      <c r="G12" s="17"/>
      <c r="H12" s="2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8"/>
      <c r="B13" s="17"/>
      <c r="C13" s="17"/>
      <c r="D13" s="17"/>
      <c r="E13" s="17"/>
      <c r="F13" s="17"/>
      <c r="G13" s="17"/>
      <c r="H13" s="2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8"/>
      <c r="B14" s="17"/>
      <c r="C14" s="17"/>
      <c r="D14" s="17"/>
      <c r="E14" s="17"/>
      <c r="F14" s="17"/>
      <c r="G14" s="17"/>
      <c r="H14" s="2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8"/>
      <c r="B15" s="17"/>
      <c r="C15" s="17"/>
      <c r="D15" s="17"/>
      <c r="E15" s="17"/>
      <c r="F15" s="17"/>
      <c r="G15" s="17"/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30"/>
      <c r="B16" s="31"/>
      <c r="C16" s="31"/>
      <c r="D16" s="31"/>
      <c r="E16" s="31"/>
      <c r="F16" s="31"/>
      <c r="G16" s="31"/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6" t="s">
        <v>4</v>
      </c>
      <c r="B18" s="17"/>
      <c r="C18" s="17"/>
      <c r="D18" s="17"/>
      <c r="E18" s="17"/>
      <c r="F18" s="17"/>
      <c r="G18" s="17"/>
      <c r="H18" s="1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8" t="s">
        <v>5</v>
      </c>
      <c r="B19" s="13"/>
      <c r="C19" s="13"/>
      <c r="D19" s="13"/>
      <c r="E19" s="13"/>
      <c r="F19" s="13"/>
      <c r="G19" s="13"/>
      <c r="H19" s="14"/>
      <c r="I19" s="1"/>
      <c r="J19" s="19" t="s">
        <v>6</v>
      </c>
      <c r="K19" s="13"/>
      <c r="L19" s="13"/>
      <c r="M19" s="13"/>
      <c r="N19" s="13"/>
      <c r="O19" s="13"/>
      <c r="P19" s="13"/>
      <c r="Q19" s="14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" t="s">
        <v>7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  <c r="H20" s="2" t="s">
        <v>14</v>
      </c>
      <c r="I20" s="1"/>
      <c r="J20" s="6" t="s">
        <v>15</v>
      </c>
      <c r="K20" s="6" t="s">
        <v>8</v>
      </c>
      <c r="L20" s="6" t="s">
        <v>9</v>
      </c>
      <c r="M20" s="6" t="s">
        <v>11</v>
      </c>
      <c r="N20" s="6" t="s">
        <v>12</v>
      </c>
      <c r="O20" s="6" t="s">
        <v>14</v>
      </c>
      <c r="P20" s="6" t="s">
        <v>16</v>
      </c>
      <c r="Q20" s="9" t="s">
        <v>17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 t="s">
        <v>18</v>
      </c>
      <c r="B21" s="4" t="s">
        <v>19</v>
      </c>
      <c r="C21" s="4" t="s">
        <v>20</v>
      </c>
      <c r="D21" s="3" t="s">
        <v>21</v>
      </c>
      <c r="E21" s="5">
        <v>4500000</v>
      </c>
      <c r="F21" s="5">
        <v>500000</v>
      </c>
      <c r="G21" s="3">
        <v>85</v>
      </c>
      <c r="H21" s="5">
        <v>750000</v>
      </c>
      <c r="I21" s="1"/>
      <c r="J21" s="3" t="s">
        <v>22</v>
      </c>
      <c r="K21" s="7" t="str">
        <f t="shared" ref="K21:K31" si="0">_xlfn.XLOOKUP(J21,$A$21:$A$50,$B$21:$B$50)</f>
        <v>Sanita Velora</v>
      </c>
      <c r="L21" s="7" t="str">
        <f t="shared" ref="L21:L31" si="1">_xlfn.XLOOKUP(J21,$A$21:$A$50,$C$21:$C$50)</f>
        <v>Supervisor</v>
      </c>
      <c r="M21" s="11">
        <f>_xlfn.XLOOKUP(J21,$A$21:$A$50,$E$21:$E$50)</f>
        <v>7000000</v>
      </c>
      <c r="N21" s="11">
        <v>1000000</v>
      </c>
      <c r="O21" s="11">
        <f t="shared" ref="O21:O31" si="2">_xlfn.XLOOKUP(J21,$A$21:$A$50,$H$21:$H$50)</f>
        <v>1200000</v>
      </c>
      <c r="P21" s="11">
        <f t="shared" ref="P21:P31" si="3">M21+N21+O21</f>
        <v>9200000</v>
      </c>
      <c r="Q21" s="10" t="str" cm="1">
        <f t="array" ref="Q21">_xlfn.LET(_xlpm.n,_xlfn.XLOOKUP(J23,$A$21:$A$50,$G$21:$G$50),_xlfn.IFS(_xlpm.n&gt;=90,"Sangat Baik",_xlpm.n&gt;=80,"Baik",TRUE,"Perlu Evaluasi"))</f>
        <v>Sangat Baik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 t="s">
        <v>23</v>
      </c>
      <c r="B22" s="4" t="s">
        <v>24</v>
      </c>
      <c r="C22" s="4" t="s">
        <v>20</v>
      </c>
      <c r="D22" s="3" t="s">
        <v>25</v>
      </c>
      <c r="E22" s="5">
        <v>5000000</v>
      </c>
      <c r="F22" s="5">
        <v>700000</v>
      </c>
      <c r="G22" s="3">
        <v>90</v>
      </c>
      <c r="H22" s="5">
        <v>1000000</v>
      </c>
      <c r="I22" s="1"/>
      <c r="J22" s="3" t="s">
        <v>26</v>
      </c>
      <c r="K22" s="7" t="str">
        <f t="shared" si="0"/>
        <v>Tisya Avendra</v>
      </c>
      <c r="L22" s="7" t="str">
        <f t="shared" si="1"/>
        <v>Supervisor</v>
      </c>
      <c r="M22" s="11">
        <f t="shared" ref="M22:M31" si="4">_xlfn.XLOOKUP(J22,$A$21:$A$50,$E$21:$E$50)</f>
        <v>7000000</v>
      </c>
      <c r="N22" s="11">
        <v>1000000</v>
      </c>
      <c r="O22" s="11">
        <f t="shared" si="2"/>
        <v>1500000</v>
      </c>
      <c r="P22" s="11">
        <f t="shared" si="3"/>
        <v>9500000</v>
      </c>
      <c r="Q22" s="10" t="str">
        <f t="shared" ref="Q21:Q31" si="5">_xlfn.IFS(_xlfn.XLOOKUP(J22,$A$21:$A$50,$G$21:$G$50)&gt;=90,"Sangat Baik",_xlfn.XLOOKUP(J22,$A$21:$A$50,$G$21:$G$50)&gt;=80,"Baik",_xlfn.XLOOKUP(J22,$A$21:$A$50,$G$21:$G$50)&lt;80,"Perlu Evaluasi")</f>
        <v>Sangat Baik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 t="s">
        <v>22</v>
      </c>
      <c r="B23" s="4" t="s">
        <v>27</v>
      </c>
      <c r="C23" s="4" t="s">
        <v>28</v>
      </c>
      <c r="D23" s="3" t="s">
        <v>29</v>
      </c>
      <c r="E23" s="5">
        <v>7000000</v>
      </c>
      <c r="F23" s="5">
        <v>1000000</v>
      </c>
      <c r="G23" s="3">
        <v>88</v>
      </c>
      <c r="H23" s="5">
        <v>1200000</v>
      </c>
      <c r="I23" s="1"/>
      <c r="J23" s="3" t="s">
        <v>30</v>
      </c>
      <c r="K23" s="7" t="str">
        <f t="shared" si="0"/>
        <v>Chika Yuresta</v>
      </c>
      <c r="L23" s="7" t="str">
        <f t="shared" si="1"/>
        <v>Staff</v>
      </c>
      <c r="M23" s="11">
        <f t="shared" si="4"/>
        <v>4500000</v>
      </c>
      <c r="N23" s="11">
        <v>500000</v>
      </c>
      <c r="O23" s="11">
        <f t="shared" si="2"/>
        <v>900000</v>
      </c>
      <c r="P23" s="11">
        <f t="shared" si="3"/>
        <v>5900000</v>
      </c>
      <c r="Q23" s="10" t="str">
        <f t="shared" si="5"/>
        <v>Sangat Baik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 t="s">
        <v>31</v>
      </c>
      <c r="B24" s="4" t="s">
        <v>32</v>
      </c>
      <c r="C24" s="4" t="s">
        <v>20</v>
      </c>
      <c r="D24" s="3" t="s">
        <v>21</v>
      </c>
      <c r="E24" s="5">
        <v>4500000</v>
      </c>
      <c r="F24" s="5">
        <v>500000</v>
      </c>
      <c r="G24" s="3">
        <v>70</v>
      </c>
      <c r="H24" s="5">
        <v>300000</v>
      </c>
      <c r="I24" s="1"/>
      <c r="J24" s="3" t="s">
        <v>33</v>
      </c>
      <c r="K24" s="7" t="str">
        <f t="shared" si="0"/>
        <v>Song Zuer</v>
      </c>
      <c r="L24" s="7" t="str">
        <f t="shared" si="1"/>
        <v>Staff</v>
      </c>
      <c r="M24" s="11">
        <f t="shared" si="4"/>
        <v>4500000</v>
      </c>
      <c r="N24" s="11">
        <v>500000</v>
      </c>
      <c r="O24" s="11">
        <f t="shared" si="2"/>
        <v>650000</v>
      </c>
      <c r="P24" s="11">
        <f t="shared" si="3"/>
        <v>5650000</v>
      </c>
      <c r="Q24" s="10" t="str">
        <f t="shared" si="5"/>
        <v>Baik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 t="s">
        <v>34</v>
      </c>
      <c r="B25" s="4" t="s">
        <v>35</v>
      </c>
      <c r="C25" s="4" t="s">
        <v>36</v>
      </c>
      <c r="D25" s="3" t="s">
        <v>37</v>
      </c>
      <c r="E25" s="5">
        <v>10000000</v>
      </c>
      <c r="F25" s="5">
        <v>2000000</v>
      </c>
      <c r="G25" s="3">
        <v>92</v>
      </c>
      <c r="H25" s="5">
        <v>2000000</v>
      </c>
      <c r="I25" s="1"/>
      <c r="J25" s="3" t="s">
        <v>38</v>
      </c>
      <c r="K25" s="7" t="str">
        <f t="shared" si="0"/>
        <v>Ethan Challister</v>
      </c>
      <c r="L25" s="7" t="str">
        <f t="shared" si="1"/>
        <v>Manager</v>
      </c>
      <c r="M25" s="11">
        <f t="shared" si="4"/>
        <v>10000000</v>
      </c>
      <c r="N25" s="11">
        <v>2000000</v>
      </c>
      <c r="O25" s="11">
        <f t="shared" si="2"/>
        <v>2100000</v>
      </c>
      <c r="P25" s="11">
        <f t="shared" si="3"/>
        <v>14100000</v>
      </c>
      <c r="Q25" s="10" t="str">
        <f t="shared" si="5"/>
        <v>Sangat Baik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 t="s">
        <v>39</v>
      </c>
      <c r="B26" s="4" t="s">
        <v>40</v>
      </c>
      <c r="C26" s="4" t="s">
        <v>20</v>
      </c>
      <c r="D26" s="3" t="s">
        <v>25</v>
      </c>
      <c r="E26" s="5">
        <v>5000000</v>
      </c>
      <c r="F26" s="5">
        <v>700000</v>
      </c>
      <c r="G26" s="3">
        <v>60</v>
      </c>
      <c r="H26" s="5">
        <v>200000</v>
      </c>
      <c r="I26" s="1"/>
      <c r="J26" s="3" t="s">
        <v>41</v>
      </c>
      <c r="K26" s="7" t="str">
        <f t="shared" si="0"/>
        <v>Yavita Orlenza</v>
      </c>
      <c r="L26" s="7" t="str">
        <f t="shared" si="1"/>
        <v>Manager</v>
      </c>
      <c r="M26" s="11">
        <f t="shared" si="4"/>
        <v>10000000</v>
      </c>
      <c r="N26" s="11">
        <v>2000000</v>
      </c>
      <c r="O26" s="11">
        <f t="shared" si="2"/>
        <v>1900000</v>
      </c>
      <c r="P26" s="11">
        <f t="shared" si="3"/>
        <v>13900000</v>
      </c>
      <c r="Q26" s="10" t="str">
        <f t="shared" si="5"/>
        <v>Sangat Baik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 t="s">
        <v>26</v>
      </c>
      <c r="B27" s="4" t="s">
        <v>42</v>
      </c>
      <c r="C27" s="4" t="s">
        <v>28</v>
      </c>
      <c r="D27" s="3" t="s">
        <v>29</v>
      </c>
      <c r="E27" s="5">
        <v>7000000</v>
      </c>
      <c r="F27" s="5">
        <v>1000000</v>
      </c>
      <c r="G27" s="3">
        <v>95</v>
      </c>
      <c r="H27" s="5">
        <v>1500000</v>
      </c>
      <c r="I27" s="1"/>
      <c r="J27" s="3" t="s">
        <v>43</v>
      </c>
      <c r="K27" s="7" t="str">
        <f t="shared" si="0"/>
        <v>Yichen Luo</v>
      </c>
      <c r="L27" s="7" t="str">
        <f t="shared" si="1"/>
        <v>Supervisor</v>
      </c>
      <c r="M27" s="11">
        <f t="shared" si="4"/>
        <v>7000000</v>
      </c>
      <c r="N27" s="11">
        <v>1000000</v>
      </c>
      <c r="O27" s="11">
        <f t="shared" si="2"/>
        <v>1350000</v>
      </c>
      <c r="P27" s="11">
        <f t="shared" si="3"/>
        <v>9350000</v>
      </c>
      <c r="Q27" s="10" t="str">
        <f t="shared" si="5"/>
        <v>Baik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 t="s">
        <v>44</v>
      </c>
      <c r="B28" s="4" t="s">
        <v>45</v>
      </c>
      <c r="C28" s="4" t="s">
        <v>20</v>
      </c>
      <c r="D28" s="3" t="s">
        <v>21</v>
      </c>
      <c r="E28" s="5">
        <v>4500000</v>
      </c>
      <c r="F28" s="5">
        <v>500000</v>
      </c>
      <c r="G28" s="3">
        <v>78</v>
      </c>
      <c r="H28" s="5">
        <v>400000</v>
      </c>
      <c r="I28" s="1"/>
      <c r="J28" s="8" t="s">
        <v>23</v>
      </c>
      <c r="K28" s="7" t="str">
        <f t="shared" si="0"/>
        <v>Hana Lin</v>
      </c>
      <c r="L28" s="7" t="str">
        <f t="shared" si="1"/>
        <v>Staff</v>
      </c>
      <c r="M28" s="11">
        <f t="shared" si="4"/>
        <v>5000000</v>
      </c>
      <c r="N28" s="11">
        <v>700000</v>
      </c>
      <c r="O28" s="11">
        <f t="shared" si="2"/>
        <v>1000000</v>
      </c>
      <c r="P28" s="11">
        <f t="shared" si="3"/>
        <v>6700000</v>
      </c>
      <c r="Q28" s="10" t="str">
        <f t="shared" si="5"/>
        <v>Sangat Baik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 t="s">
        <v>46</v>
      </c>
      <c r="B29" s="4" t="s">
        <v>47</v>
      </c>
      <c r="C29" s="4" t="s">
        <v>20</v>
      </c>
      <c r="D29" s="3" t="s">
        <v>25</v>
      </c>
      <c r="E29" s="5">
        <v>5000000</v>
      </c>
      <c r="F29" s="5">
        <v>700000</v>
      </c>
      <c r="G29" s="3">
        <v>82</v>
      </c>
      <c r="H29" s="5">
        <v>600000</v>
      </c>
      <c r="I29" s="1"/>
      <c r="J29" s="8" t="s">
        <v>31</v>
      </c>
      <c r="K29" s="7" t="str">
        <f t="shared" si="0"/>
        <v>Vanya Ruselina</v>
      </c>
      <c r="L29" s="7" t="str">
        <f t="shared" si="1"/>
        <v>Staff</v>
      </c>
      <c r="M29" s="11">
        <f t="shared" si="4"/>
        <v>4500000</v>
      </c>
      <c r="N29" s="11">
        <v>500000</v>
      </c>
      <c r="O29" s="11">
        <f t="shared" si="2"/>
        <v>300000</v>
      </c>
      <c r="P29" s="11">
        <f t="shared" si="3"/>
        <v>5300000</v>
      </c>
      <c r="Q29" s="10" t="str">
        <f t="shared" si="5"/>
        <v>Perlu Evaluasi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 t="s">
        <v>48</v>
      </c>
      <c r="B30" s="4" t="s">
        <v>49</v>
      </c>
      <c r="C30" s="4" t="s">
        <v>36</v>
      </c>
      <c r="D30" s="3" t="s">
        <v>37</v>
      </c>
      <c r="E30" s="5">
        <v>10000000</v>
      </c>
      <c r="F30" s="5">
        <v>2000000</v>
      </c>
      <c r="G30" s="3">
        <v>88</v>
      </c>
      <c r="H30" s="5">
        <v>1800000</v>
      </c>
      <c r="I30" s="1"/>
      <c r="J30" s="8" t="s">
        <v>18</v>
      </c>
      <c r="K30" s="7" t="str">
        <f t="shared" si="0"/>
        <v>Loka Wiranta</v>
      </c>
      <c r="L30" s="7" t="str">
        <f t="shared" si="1"/>
        <v>Staff</v>
      </c>
      <c r="M30" s="11">
        <f t="shared" si="4"/>
        <v>4500000</v>
      </c>
      <c r="N30" s="11">
        <v>500000</v>
      </c>
      <c r="O30" s="11">
        <f t="shared" si="2"/>
        <v>750000</v>
      </c>
      <c r="P30" s="11">
        <f t="shared" si="3"/>
        <v>5750000</v>
      </c>
      <c r="Q30" s="10" t="str">
        <f t="shared" si="5"/>
        <v>Baik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 t="s">
        <v>30</v>
      </c>
      <c r="B31" s="4" t="s">
        <v>50</v>
      </c>
      <c r="C31" s="4" t="s">
        <v>20</v>
      </c>
      <c r="D31" s="3" t="s">
        <v>21</v>
      </c>
      <c r="E31" s="5">
        <v>4500000</v>
      </c>
      <c r="F31" s="5">
        <v>500000</v>
      </c>
      <c r="G31" s="3">
        <v>91</v>
      </c>
      <c r="H31" s="5">
        <v>900000</v>
      </c>
      <c r="I31" s="1"/>
      <c r="J31" s="8" t="s">
        <v>46</v>
      </c>
      <c r="K31" s="7" t="str">
        <f t="shared" si="0"/>
        <v>Jefro Malantara</v>
      </c>
      <c r="L31" s="7" t="str">
        <f t="shared" si="1"/>
        <v>Staff</v>
      </c>
      <c r="M31" s="11">
        <f t="shared" si="4"/>
        <v>5000000</v>
      </c>
      <c r="N31" s="11">
        <v>700000</v>
      </c>
      <c r="O31" s="11">
        <f t="shared" si="2"/>
        <v>600000</v>
      </c>
      <c r="P31" s="11">
        <f t="shared" si="3"/>
        <v>6300000</v>
      </c>
      <c r="Q31" s="10" t="str">
        <f t="shared" si="5"/>
        <v>Baik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 t="s">
        <v>51</v>
      </c>
      <c r="B32" s="4" t="s">
        <v>52</v>
      </c>
      <c r="C32" s="4" t="s">
        <v>28</v>
      </c>
      <c r="D32" s="3" t="s">
        <v>29</v>
      </c>
      <c r="E32" s="5">
        <v>7000000</v>
      </c>
      <c r="F32" s="5">
        <v>1000000</v>
      </c>
      <c r="G32" s="3">
        <v>87</v>
      </c>
      <c r="H32" s="5">
        <v>1100000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 t="s">
        <v>53</v>
      </c>
      <c r="B33" s="4" t="s">
        <v>54</v>
      </c>
      <c r="C33" s="4" t="s">
        <v>36</v>
      </c>
      <c r="D33" s="3" t="s">
        <v>37</v>
      </c>
      <c r="E33" s="5">
        <v>10000000</v>
      </c>
      <c r="F33" s="5">
        <v>2000000</v>
      </c>
      <c r="G33" s="3">
        <v>94</v>
      </c>
      <c r="H33" s="5">
        <v>2200000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 t="s">
        <v>55</v>
      </c>
      <c r="B34" s="4" t="s">
        <v>56</v>
      </c>
      <c r="C34" s="4" t="s">
        <v>20</v>
      </c>
      <c r="D34" s="3" t="s">
        <v>25</v>
      </c>
      <c r="E34" s="5">
        <v>5000000</v>
      </c>
      <c r="F34" s="5">
        <v>700000</v>
      </c>
      <c r="G34" s="3">
        <v>76</v>
      </c>
      <c r="H34" s="5">
        <v>350000</v>
      </c>
      <c r="I34" s="1"/>
      <c r="J34" s="20" t="s">
        <v>57</v>
      </c>
      <c r="K34" s="13"/>
      <c r="L34" s="13"/>
      <c r="M34" s="13"/>
      <c r="N34" s="13"/>
      <c r="O34" s="13"/>
      <c r="P34" s="13"/>
      <c r="Q34" s="14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 t="s">
        <v>33</v>
      </c>
      <c r="B35" s="4" t="s">
        <v>58</v>
      </c>
      <c r="C35" s="4" t="s">
        <v>20</v>
      </c>
      <c r="D35" s="3" t="s">
        <v>21</v>
      </c>
      <c r="E35" s="5">
        <v>4500000</v>
      </c>
      <c r="F35" s="5">
        <v>500000</v>
      </c>
      <c r="G35" s="3">
        <v>83</v>
      </c>
      <c r="H35" s="5">
        <v>650000</v>
      </c>
      <c r="I35" s="1"/>
      <c r="J35" s="21" t="s">
        <v>59</v>
      </c>
      <c r="K35" s="13"/>
      <c r="L35" s="13"/>
      <c r="M35" s="13"/>
      <c r="N35" s="13"/>
      <c r="O35" s="13"/>
      <c r="P35" s="13"/>
      <c r="Q35" s="14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 t="s">
        <v>60</v>
      </c>
      <c r="B36" s="4" t="s">
        <v>61</v>
      </c>
      <c r="C36" s="4" t="s">
        <v>28</v>
      </c>
      <c r="D36" s="3" t="s">
        <v>29</v>
      </c>
      <c r="E36" s="5">
        <v>7000000</v>
      </c>
      <c r="F36" s="5">
        <v>1000000</v>
      </c>
      <c r="G36" s="3">
        <v>89</v>
      </c>
      <c r="H36" s="5">
        <v>1300000</v>
      </c>
      <c r="I36" s="1"/>
      <c r="J36" s="22" t="s">
        <v>62</v>
      </c>
      <c r="K36" s="13"/>
      <c r="L36" s="13"/>
      <c r="M36" s="13"/>
      <c r="N36" s="13"/>
      <c r="O36" s="13"/>
      <c r="P36" s="13"/>
      <c r="Q36" s="14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 t="s">
        <v>63</v>
      </c>
      <c r="B37" s="4" t="s">
        <v>64</v>
      </c>
      <c r="C37" s="4" t="s">
        <v>36</v>
      </c>
      <c r="D37" s="3" t="s">
        <v>37</v>
      </c>
      <c r="E37" s="5">
        <v>10000000</v>
      </c>
      <c r="F37" s="5">
        <v>2000000</v>
      </c>
      <c r="G37" s="3">
        <v>96</v>
      </c>
      <c r="H37" s="5">
        <v>2500000</v>
      </c>
      <c r="I37" s="1"/>
      <c r="J37" s="25" t="s">
        <v>65</v>
      </c>
      <c r="K37" s="26"/>
      <c r="L37" s="26"/>
      <c r="M37" s="26"/>
      <c r="N37" s="26"/>
      <c r="O37" s="26"/>
      <c r="P37" s="26"/>
      <c r="Q37" s="27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 t="s">
        <v>66</v>
      </c>
      <c r="B38" s="4" t="s">
        <v>67</v>
      </c>
      <c r="C38" s="4" t="s">
        <v>20</v>
      </c>
      <c r="D38" s="3" t="s">
        <v>25</v>
      </c>
      <c r="E38" s="5">
        <v>5000000</v>
      </c>
      <c r="F38" s="5">
        <v>700000</v>
      </c>
      <c r="G38" s="3">
        <v>84</v>
      </c>
      <c r="H38" s="5">
        <v>700000</v>
      </c>
      <c r="I38" s="1"/>
      <c r="J38" s="30"/>
      <c r="K38" s="31"/>
      <c r="L38" s="31"/>
      <c r="M38" s="31"/>
      <c r="N38" s="31"/>
      <c r="O38" s="31"/>
      <c r="P38" s="31"/>
      <c r="Q38" s="32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 t="s">
        <v>68</v>
      </c>
      <c r="B39" s="4" t="s">
        <v>69</v>
      </c>
      <c r="C39" s="4" t="s">
        <v>28</v>
      </c>
      <c r="D39" s="3" t="s">
        <v>29</v>
      </c>
      <c r="E39" s="5">
        <v>7000000</v>
      </c>
      <c r="F39" s="5">
        <v>1000000</v>
      </c>
      <c r="G39" s="3">
        <v>91</v>
      </c>
      <c r="H39" s="5">
        <v>1400000</v>
      </c>
      <c r="I39" s="1"/>
      <c r="J39" s="22" t="s">
        <v>70</v>
      </c>
      <c r="K39" s="13"/>
      <c r="L39" s="13"/>
      <c r="M39" s="13"/>
      <c r="N39" s="13"/>
      <c r="O39" s="13"/>
      <c r="P39" s="13"/>
      <c r="Q39" s="14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 t="s">
        <v>71</v>
      </c>
      <c r="B40" s="4" t="s">
        <v>72</v>
      </c>
      <c r="C40" s="4" t="s">
        <v>20</v>
      </c>
      <c r="D40" s="3" t="s">
        <v>21</v>
      </c>
      <c r="E40" s="5">
        <v>4500000</v>
      </c>
      <c r="F40" s="5">
        <v>500000</v>
      </c>
      <c r="G40" s="3">
        <v>79</v>
      </c>
      <c r="H40" s="5">
        <v>450000</v>
      </c>
      <c r="I40" s="1"/>
      <c r="J40" s="21" t="s">
        <v>73</v>
      </c>
      <c r="K40" s="13"/>
      <c r="L40" s="13"/>
      <c r="M40" s="13"/>
      <c r="N40" s="13"/>
      <c r="O40" s="13"/>
      <c r="P40" s="13"/>
      <c r="Q40" s="14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" t="s">
        <v>38</v>
      </c>
      <c r="B41" s="4" t="s">
        <v>74</v>
      </c>
      <c r="C41" s="4" t="s">
        <v>36</v>
      </c>
      <c r="D41" s="3" t="s">
        <v>37</v>
      </c>
      <c r="E41" s="5">
        <v>10000000</v>
      </c>
      <c r="F41" s="5">
        <v>2000000</v>
      </c>
      <c r="G41" s="3">
        <v>93</v>
      </c>
      <c r="H41" s="5">
        <v>2100000</v>
      </c>
      <c r="I41" s="1"/>
      <c r="J41" s="22" t="s">
        <v>75</v>
      </c>
      <c r="K41" s="13"/>
      <c r="L41" s="13"/>
      <c r="M41" s="13"/>
      <c r="N41" s="13"/>
      <c r="O41" s="13"/>
      <c r="P41" s="13"/>
      <c r="Q41" s="14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3" t="s">
        <v>76</v>
      </c>
      <c r="B42" s="4" t="s">
        <v>77</v>
      </c>
      <c r="C42" s="4" t="s">
        <v>20</v>
      </c>
      <c r="D42" s="3" t="s">
        <v>25</v>
      </c>
      <c r="E42" s="5">
        <v>5000000</v>
      </c>
      <c r="F42" s="5">
        <v>700000</v>
      </c>
      <c r="G42" s="3">
        <v>77</v>
      </c>
      <c r="H42" s="5">
        <v>500000</v>
      </c>
      <c r="I42" s="1"/>
      <c r="J42" s="25" t="s">
        <v>78</v>
      </c>
      <c r="K42" s="26"/>
      <c r="L42" s="26"/>
      <c r="M42" s="26"/>
      <c r="N42" s="26"/>
      <c r="O42" s="26"/>
      <c r="P42" s="26"/>
      <c r="Q42" s="27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" t="s">
        <v>79</v>
      </c>
      <c r="B43" s="4" t="s">
        <v>80</v>
      </c>
      <c r="C43" s="4" t="s">
        <v>28</v>
      </c>
      <c r="D43" s="3" t="s">
        <v>29</v>
      </c>
      <c r="E43" s="5">
        <v>7000000</v>
      </c>
      <c r="F43" s="5">
        <v>1000000</v>
      </c>
      <c r="G43" s="3">
        <v>86</v>
      </c>
      <c r="H43" s="5">
        <v>1000000</v>
      </c>
      <c r="I43" s="1"/>
      <c r="J43" s="30"/>
      <c r="K43" s="31"/>
      <c r="L43" s="31"/>
      <c r="M43" s="31"/>
      <c r="N43" s="31"/>
      <c r="O43" s="31"/>
      <c r="P43" s="31"/>
      <c r="Q43" s="32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" t="s">
        <v>81</v>
      </c>
      <c r="B44" s="4" t="s">
        <v>82</v>
      </c>
      <c r="C44" s="4" t="s">
        <v>20</v>
      </c>
      <c r="D44" s="3" t="s">
        <v>21</v>
      </c>
      <c r="E44" s="5">
        <v>4500000</v>
      </c>
      <c r="F44" s="5">
        <v>500000</v>
      </c>
      <c r="G44" s="3">
        <v>81</v>
      </c>
      <c r="H44" s="5">
        <v>600000</v>
      </c>
      <c r="I44" s="1"/>
      <c r="J44" s="22" t="s">
        <v>83</v>
      </c>
      <c r="K44" s="13"/>
      <c r="L44" s="13"/>
      <c r="M44" s="13"/>
      <c r="N44" s="13"/>
      <c r="O44" s="13"/>
      <c r="P44" s="13"/>
      <c r="Q44" s="14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 t="s">
        <v>41</v>
      </c>
      <c r="B45" s="4" t="s">
        <v>84</v>
      </c>
      <c r="C45" s="4" t="s">
        <v>36</v>
      </c>
      <c r="D45" s="3" t="s">
        <v>37</v>
      </c>
      <c r="E45" s="5">
        <v>10000000</v>
      </c>
      <c r="F45" s="5">
        <v>2000000</v>
      </c>
      <c r="G45" s="3">
        <v>90</v>
      </c>
      <c r="H45" s="5">
        <v>1900000</v>
      </c>
      <c r="I45" s="1"/>
      <c r="J45" s="21" t="s">
        <v>85</v>
      </c>
      <c r="K45" s="13"/>
      <c r="L45" s="13"/>
      <c r="M45" s="13"/>
      <c r="N45" s="13"/>
      <c r="O45" s="13"/>
      <c r="P45" s="13"/>
      <c r="Q45" s="14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" t="s">
        <v>86</v>
      </c>
      <c r="B46" s="4" t="s">
        <v>87</v>
      </c>
      <c r="C46" s="4" t="s">
        <v>20</v>
      </c>
      <c r="D46" s="3" t="s">
        <v>25</v>
      </c>
      <c r="E46" s="5">
        <v>5000000</v>
      </c>
      <c r="F46" s="5">
        <v>700000</v>
      </c>
      <c r="G46" s="3">
        <v>73</v>
      </c>
      <c r="H46" s="5">
        <v>350000</v>
      </c>
      <c r="I46" s="1"/>
      <c r="J46" s="22" t="s">
        <v>88</v>
      </c>
      <c r="K46" s="13"/>
      <c r="L46" s="13"/>
      <c r="M46" s="13"/>
      <c r="N46" s="13"/>
      <c r="O46" s="13"/>
      <c r="P46" s="13"/>
      <c r="Q46" s="14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" t="s">
        <v>89</v>
      </c>
      <c r="B47" s="4" t="s">
        <v>90</v>
      </c>
      <c r="C47" s="4" t="s">
        <v>28</v>
      </c>
      <c r="D47" s="3" t="s">
        <v>29</v>
      </c>
      <c r="E47" s="5">
        <v>7000000</v>
      </c>
      <c r="F47" s="5">
        <v>1000000</v>
      </c>
      <c r="G47" s="3">
        <v>92</v>
      </c>
      <c r="H47" s="5">
        <v>1500000</v>
      </c>
      <c r="I47" s="1"/>
      <c r="J47" s="22" t="s">
        <v>91</v>
      </c>
      <c r="K47" s="13"/>
      <c r="L47" s="13"/>
      <c r="M47" s="13"/>
      <c r="N47" s="13"/>
      <c r="O47" s="13"/>
      <c r="P47" s="13"/>
      <c r="Q47" s="14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" t="s">
        <v>92</v>
      </c>
      <c r="B48" s="4" t="s">
        <v>93</v>
      </c>
      <c r="C48" s="4" t="s">
        <v>20</v>
      </c>
      <c r="D48" s="3" t="s">
        <v>21</v>
      </c>
      <c r="E48" s="5">
        <v>4500000</v>
      </c>
      <c r="F48" s="5">
        <v>500000</v>
      </c>
      <c r="G48" s="3">
        <v>88</v>
      </c>
      <c r="H48" s="5">
        <v>800000</v>
      </c>
      <c r="I48" s="1"/>
      <c r="J48" s="22" t="s">
        <v>94</v>
      </c>
      <c r="K48" s="13"/>
      <c r="L48" s="13"/>
      <c r="M48" s="13"/>
      <c r="N48" s="13"/>
      <c r="O48" s="13"/>
      <c r="P48" s="13"/>
      <c r="Q48" s="14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" t="s">
        <v>95</v>
      </c>
      <c r="B49" s="4" t="s">
        <v>96</v>
      </c>
      <c r="C49" s="4" t="s">
        <v>36</v>
      </c>
      <c r="D49" s="3" t="s">
        <v>37</v>
      </c>
      <c r="E49" s="5">
        <v>10000000</v>
      </c>
      <c r="F49" s="5">
        <v>2000000</v>
      </c>
      <c r="G49" s="3">
        <v>95</v>
      </c>
      <c r="H49" s="5">
        <v>2300000</v>
      </c>
      <c r="I49" s="1"/>
      <c r="J49" s="21" t="s">
        <v>97</v>
      </c>
      <c r="K49" s="13"/>
      <c r="L49" s="13"/>
      <c r="M49" s="13"/>
      <c r="N49" s="13"/>
      <c r="O49" s="13"/>
      <c r="P49" s="13"/>
      <c r="Q49" s="14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" t="s">
        <v>43</v>
      </c>
      <c r="B50" s="4" t="s">
        <v>98</v>
      </c>
      <c r="C50" s="4" t="s">
        <v>28</v>
      </c>
      <c r="D50" s="3" t="s">
        <v>29</v>
      </c>
      <c r="E50" s="5">
        <v>7000000</v>
      </c>
      <c r="F50" s="5">
        <v>1000000</v>
      </c>
      <c r="G50" s="3">
        <v>89</v>
      </c>
      <c r="H50" s="5">
        <v>1350000</v>
      </c>
      <c r="I50" s="1"/>
      <c r="J50" s="22" t="s">
        <v>99</v>
      </c>
      <c r="K50" s="13"/>
      <c r="L50" s="13"/>
      <c r="M50" s="13"/>
      <c r="N50" s="13"/>
      <c r="O50" s="13"/>
      <c r="P50" s="13"/>
      <c r="Q50" s="14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25" t="s">
        <v>100</v>
      </c>
      <c r="K51" s="26"/>
      <c r="L51" s="26"/>
      <c r="M51" s="26"/>
      <c r="N51" s="26"/>
      <c r="O51" s="26"/>
      <c r="P51" s="26"/>
      <c r="Q51" s="27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28"/>
      <c r="K52" s="17"/>
      <c r="L52" s="17"/>
      <c r="M52" s="17"/>
      <c r="N52" s="17"/>
      <c r="O52" s="17"/>
      <c r="P52" s="17"/>
      <c r="Q52" s="29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28"/>
      <c r="K53" s="17"/>
      <c r="L53" s="17"/>
      <c r="M53" s="17"/>
      <c r="N53" s="17"/>
      <c r="O53" s="17"/>
      <c r="P53" s="17"/>
      <c r="Q53" s="29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30"/>
      <c r="K54" s="31"/>
      <c r="L54" s="31"/>
      <c r="M54" s="31"/>
      <c r="N54" s="31"/>
      <c r="O54" s="31"/>
      <c r="P54" s="31"/>
      <c r="Q54" s="32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22" t="s">
        <v>101</v>
      </c>
      <c r="K55" s="13"/>
      <c r="L55" s="13"/>
      <c r="M55" s="13"/>
      <c r="N55" s="13"/>
      <c r="O55" s="13"/>
      <c r="P55" s="13"/>
      <c r="Q55" s="14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J48:Q48"/>
    <mergeCell ref="J49:Q49"/>
    <mergeCell ref="J50:Q50"/>
    <mergeCell ref="J55:Q55"/>
    <mergeCell ref="A1:Q3"/>
    <mergeCell ref="A8:H16"/>
    <mergeCell ref="J37:Q38"/>
    <mergeCell ref="J51:Q54"/>
    <mergeCell ref="J42:Q43"/>
    <mergeCell ref="J41:Q41"/>
    <mergeCell ref="J44:Q44"/>
    <mergeCell ref="J45:Q45"/>
    <mergeCell ref="J46:Q46"/>
    <mergeCell ref="J47:Q47"/>
    <mergeCell ref="J34:Q34"/>
    <mergeCell ref="J35:Q35"/>
    <mergeCell ref="J36:Q36"/>
    <mergeCell ref="J39:Q39"/>
    <mergeCell ref="J40:Q40"/>
    <mergeCell ref="A6:H6"/>
    <mergeCell ref="A7:H7"/>
    <mergeCell ref="A18:H18"/>
    <mergeCell ref="A19:H19"/>
    <mergeCell ref="J19:Q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tabSelected="1" topLeftCell="A34" workbookViewId="0">
      <selection activeCell="H56" sqref="H56"/>
    </sheetView>
  </sheetViews>
  <sheetFormatPr defaultColWidth="12.6640625" defaultRowHeight="15.75" customHeight="1"/>
  <cols>
    <col min="1" max="1" width="5.88671875" customWidth="1"/>
    <col min="2" max="2" width="14.21875" customWidth="1"/>
    <col min="3" max="3" width="8.88671875" customWidth="1"/>
    <col min="4" max="4" width="5.6640625" customWidth="1"/>
    <col min="5" max="6" width="14.5546875" customWidth="1"/>
    <col min="7" max="7" width="7.21875" customWidth="1"/>
    <col min="8" max="8" width="14.109375" customWidth="1"/>
    <col min="9" max="9" width="4.88671875" customWidth="1"/>
    <col min="10" max="10" width="10.5546875" customWidth="1"/>
    <col min="11" max="11" width="13.33203125" customWidth="1"/>
    <col min="12" max="12" width="12.77734375" customWidth="1"/>
    <col min="13" max="13" width="21.33203125" customWidth="1"/>
    <col min="14" max="14" width="16.44140625" customWidth="1"/>
    <col min="15" max="15" width="17.77734375" customWidth="1"/>
    <col min="16" max="16" width="19.5546875" customWidth="1"/>
    <col min="17" max="17" width="16.77734375" customWidth="1"/>
  </cols>
  <sheetData>
    <row r="1" spans="1:26" ht="15.75" customHeight="1">
      <c r="A1" s="23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2" t="s">
        <v>1</v>
      </c>
      <c r="B6" s="13"/>
      <c r="C6" s="13"/>
      <c r="D6" s="13"/>
      <c r="E6" s="13"/>
      <c r="F6" s="13"/>
      <c r="G6" s="13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5" t="s">
        <v>2</v>
      </c>
      <c r="B7" s="13"/>
      <c r="C7" s="13"/>
      <c r="D7" s="13"/>
      <c r="E7" s="13"/>
      <c r="F7" s="13"/>
      <c r="G7" s="13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5" t="s">
        <v>3</v>
      </c>
      <c r="B8" s="26"/>
      <c r="C8" s="26"/>
      <c r="D8" s="26"/>
      <c r="E8" s="26"/>
      <c r="F8" s="26"/>
      <c r="G8" s="26"/>
      <c r="H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8"/>
      <c r="B9" s="17"/>
      <c r="C9" s="17"/>
      <c r="D9" s="17"/>
      <c r="E9" s="17"/>
      <c r="F9" s="17"/>
      <c r="G9" s="17"/>
      <c r="H9" s="2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8"/>
      <c r="B10" s="17"/>
      <c r="C10" s="17"/>
      <c r="D10" s="17"/>
      <c r="E10" s="17"/>
      <c r="F10" s="17"/>
      <c r="G10" s="17"/>
      <c r="H10" s="2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8"/>
      <c r="B11" s="17"/>
      <c r="C11" s="17"/>
      <c r="D11" s="17"/>
      <c r="E11" s="17"/>
      <c r="F11" s="17"/>
      <c r="G11" s="17"/>
      <c r="H11" s="2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8"/>
      <c r="B12" s="17"/>
      <c r="C12" s="17"/>
      <c r="D12" s="17"/>
      <c r="E12" s="17"/>
      <c r="F12" s="17"/>
      <c r="G12" s="17"/>
      <c r="H12" s="2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8"/>
      <c r="B13" s="17"/>
      <c r="C13" s="17"/>
      <c r="D13" s="17"/>
      <c r="E13" s="17"/>
      <c r="F13" s="17"/>
      <c r="G13" s="17"/>
      <c r="H13" s="2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8"/>
      <c r="B14" s="17"/>
      <c r="C14" s="17"/>
      <c r="D14" s="17"/>
      <c r="E14" s="17"/>
      <c r="F14" s="17"/>
      <c r="G14" s="17"/>
      <c r="H14" s="2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8"/>
      <c r="B15" s="17"/>
      <c r="C15" s="17"/>
      <c r="D15" s="17"/>
      <c r="E15" s="17"/>
      <c r="F15" s="17"/>
      <c r="G15" s="17"/>
      <c r="H15" s="2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30"/>
      <c r="B16" s="31"/>
      <c r="C16" s="31"/>
      <c r="D16" s="31"/>
      <c r="E16" s="31"/>
      <c r="F16" s="31"/>
      <c r="G16" s="31"/>
      <c r="H16" s="3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6" t="s">
        <v>4</v>
      </c>
      <c r="B18" s="17"/>
      <c r="C18" s="17"/>
      <c r="D18" s="17"/>
      <c r="E18" s="17"/>
      <c r="F18" s="17"/>
      <c r="G18" s="17"/>
      <c r="H18" s="1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8" t="s">
        <v>5</v>
      </c>
      <c r="B19" s="13"/>
      <c r="C19" s="13"/>
      <c r="D19" s="13"/>
      <c r="E19" s="13"/>
      <c r="F19" s="13"/>
      <c r="G19" s="13"/>
      <c r="H19" s="14"/>
      <c r="I19" s="1"/>
      <c r="J19" s="19" t="s">
        <v>6</v>
      </c>
      <c r="K19" s="13"/>
      <c r="L19" s="13"/>
      <c r="M19" s="13"/>
      <c r="N19" s="13"/>
      <c r="O19" s="13"/>
      <c r="P19" s="13"/>
      <c r="Q19" s="14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" t="s">
        <v>7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  <c r="H20" s="2" t="s">
        <v>14</v>
      </c>
      <c r="I20" s="1"/>
      <c r="J20" s="6" t="s">
        <v>15</v>
      </c>
      <c r="K20" s="6" t="s">
        <v>8</v>
      </c>
      <c r="L20" s="6" t="s">
        <v>9</v>
      </c>
      <c r="M20" s="6" t="s">
        <v>11</v>
      </c>
      <c r="N20" s="6" t="s">
        <v>12</v>
      </c>
      <c r="O20" s="6" t="s">
        <v>14</v>
      </c>
      <c r="P20" s="6" t="s">
        <v>16</v>
      </c>
      <c r="Q20" s="9" t="s">
        <v>17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 t="s">
        <v>18</v>
      </c>
      <c r="B21" s="4" t="s">
        <v>19</v>
      </c>
      <c r="C21" s="4" t="s">
        <v>20</v>
      </c>
      <c r="D21" s="3" t="s">
        <v>21</v>
      </c>
      <c r="E21" s="5">
        <v>4500000</v>
      </c>
      <c r="F21" s="5">
        <v>500000</v>
      </c>
      <c r="G21" s="3">
        <v>85</v>
      </c>
      <c r="H21" s="5">
        <v>750000</v>
      </c>
      <c r="I21" s="1"/>
      <c r="J21" s="3" t="s">
        <v>22</v>
      </c>
      <c r="K21" s="7" t="str">
        <f>_xlfn.XLOOKUP(J21,$A$21:$A$50,$B$21:$B$50)</f>
        <v>Sanita Velora</v>
      </c>
      <c r="L21" s="7" t="str">
        <f>_xlfn.XLOOKUP(J21,$A$21:$A$50,$C$21:$C$50)</f>
        <v>Supervisor</v>
      </c>
      <c r="M21" s="34">
        <f>_xlfn.XLOOKUP(J21,$A$21:$A$50,$E$21:$E$50)</f>
        <v>7000000</v>
      </c>
      <c r="N21" s="34">
        <f>_xlfn.XLOOKUP(J21,$A$21:$A$50,$F$21:$F$50)</f>
        <v>1000000</v>
      </c>
      <c r="O21" s="33">
        <f>_xlfn.XLOOKUP(J21,$A$21:$A$50,$H$21:$H$50)</f>
        <v>1200000</v>
      </c>
      <c r="P21" s="33">
        <f>M21+N21+O21</f>
        <v>9200000</v>
      </c>
      <c r="Q21" s="10" t="str" cm="1">
        <f t="array" ref="Q21">_xlfn.IFS(_xlfn.XLOOKUP(J21,$A$21:$A$50,$G$21:$G$50)&gt;=90,"Sangat Baik",_xlfn.XLOOKUP(J21,$A$21:$A$50,$G$21:$G$50)&gt;=80,"Baik",_xlfn.XLOOKUP(J21,$A$21:$A$50,$G$21:$G$50)&lt;80,"Perlu Evaluasi")</f>
        <v>Baik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3" t="s">
        <v>23</v>
      </c>
      <c r="B22" s="4" t="s">
        <v>24</v>
      </c>
      <c r="C22" s="4" t="s">
        <v>20</v>
      </c>
      <c r="D22" s="3" t="s">
        <v>25</v>
      </c>
      <c r="E22" s="5">
        <v>5000000</v>
      </c>
      <c r="F22" s="5">
        <v>700000</v>
      </c>
      <c r="G22" s="3">
        <v>90</v>
      </c>
      <c r="H22" s="5">
        <v>1000000</v>
      </c>
      <c r="I22" s="1"/>
      <c r="J22" s="3" t="s">
        <v>26</v>
      </c>
      <c r="K22" s="7" t="str">
        <f t="shared" ref="K22:K31" si="0">_xlfn.XLOOKUP(J22,$A$21:$A$50,$B$21:$B$50)</f>
        <v>Tisya Avendra</v>
      </c>
      <c r="L22" s="7" t="str">
        <f t="shared" ref="L22:L31" si="1">_xlfn.XLOOKUP(J22,$A$21:$A$50,$C$21:$C$50)</f>
        <v>Supervisor</v>
      </c>
      <c r="M22" s="34">
        <f t="shared" ref="M22:M31" si="2">_xlfn.XLOOKUP(J22,$A$21:$A$50,$E$21:$E$50)</f>
        <v>7000000</v>
      </c>
      <c r="N22" s="34">
        <f t="shared" ref="N22:N31" si="3">_xlfn.XLOOKUP(J22,$A$21:$A$50,$F$21:$F$50)</f>
        <v>1000000</v>
      </c>
      <c r="O22" s="33">
        <f t="shared" ref="O22:O31" si="4">_xlfn.XLOOKUP(J22,$A$21:$A$50,$H$21:$H$50)</f>
        <v>1500000</v>
      </c>
      <c r="P22" s="33">
        <f t="shared" ref="P22:P31" si="5">M22+N22+O22</f>
        <v>9500000</v>
      </c>
      <c r="Q22" s="10" t="str" cm="1">
        <f t="array" ref="Q22">_xlfn.IFS(_xlfn.XLOOKUP(J22,$A$21:$A$50,$G$21:$G$50)&gt;=90,"Sangat Baik",_xlfn.XLOOKUP(J22,$A$21:$A$50,$G$21:$G$50)&gt;=80,"Baik",_xlfn.XLOOKUP(J22,$A$21:$A$50,$G$21:$G$50)&lt;80,"Perlu Evaluasi")</f>
        <v>Sangat Baik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" t="s">
        <v>22</v>
      </c>
      <c r="B23" s="4" t="s">
        <v>27</v>
      </c>
      <c r="C23" s="4" t="s">
        <v>28</v>
      </c>
      <c r="D23" s="3" t="s">
        <v>29</v>
      </c>
      <c r="E23" s="5">
        <v>7000000</v>
      </c>
      <c r="F23" s="5">
        <v>1000000</v>
      </c>
      <c r="G23" s="3">
        <v>88</v>
      </c>
      <c r="H23" s="5">
        <v>1200000</v>
      </c>
      <c r="I23" s="1"/>
      <c r="J23" s="3" t="s">
        <v>30</v>
      </c>
      <c r="K23" s="7" t="str">
        <f t="shared" si="0"/>
        <v>Chika Yuresta</v>
      </c>
      <c r="L23" s="7" t="str">
        <f t="shared" si="1"/>
        <v>Staff</v>
      </c>
      <c r="M23" s="34">
        <f t="shared" si="2"/>
        <v>4500000</v>
      </c>
      <c r="N23" s="34">
        <f t="shared" si="3"/>
        <v>500000</v>
      </c>
      <c r="O23" s="33">
        <f t="shared" si="4"/>
        <v>900000</v>
      </c>
      <c r="P23" s="33">
        <f t="shared" si="5"/>
        <v>5900000</v>
      </c>
      <c r="Q23" s="10" t="str" cm="1">
        <f t="array" ref="Q23">_xlfn.IFS(_xlfn.XLOOKUP(J23,$A$21:$A$50,$G$21:$G$50)&gt;=90,"Sangat Baik",_xlfn.XLOOKUP(J23,$A$21:$A$50,$G$21:$G$50)&gt;=80,"Baik",_xlfn.XLOOKUP(J23,$A$21:$A$50,$G$21:$G$50)&lt;80,"Perlu Evaluasi")</f>
        <v>Sangat Baik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" t="s">
        <v>31</v>
      </c>
      <c r="B24" s="4" t="s">
        <v>32</v>
      </c>
      <c r="C24" s="4" t="s">
        <v>20</v>
      </c>
      <c r="D24" s="3" t="s">
        <v>21</v>
      </c>
      <c r="E24" s="5">
        <v>4500000</v>
      </c>
      <c r="F24" s="5">
        <v>500000</v>
      </c>
      <c r="G24" s="3">
        <v>70</v>
      </c>
      <c r="H24" s="5">
        <v>300000</v>
      </c>
      <c r="I24" s="1"/>
      <c r="J24" s="3" t="s">
        <v>33</v>
      </c>
      <c r="K24" s="7" t="str">
        <f t="shared" si="0"/>
        <v>Song Zuer</v>
      </c>
      <c r="L24" s="7" t="str">
        <f t="shared" si="1"/>
        <v>Staff</v>
      </c>
      <c r="M24" s="34">
        <f t="shared" si="2"/>
        <v>4500000</v>
      </c>
      <c r="N24" s="34">
        <f t="shared" si="3"/>
        <v>500000</v>
      </c>
      <c r="O24" s="33">
        <f t="shared" si="4"/>
        <v>650000</v>
      </c>
      <c r="P24" s="33">
        <f t="shared" si="5"/>
        <v>5650000</v>
      </c>
      <c r="Q24" s="10" t="str" cm="1">
        <f t="array" ref="Q24">_xlfn.IFS(_xlfn.XLOOKUP(J24,$A$21:$A$50,$G$21:$G$50)&gt;=90,"Sangat Baik",_xlfn.XLOOKUP(J24,$A$21:$A$50,$G$21:$G$50)&gt;=80,"Baik",_xlfn.XLOOKUP(J24,$A$21:$A$50,$G$21:$G$50)&lt;80,"Perlu Evaluasi")</f>
        <v>Baik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" t="s">
        <v>34</v>
      </c>
      <c r="B25" s="4" t="s">
        <v>35</v>
      </c>
      <c r="C25" s="4" t="s">
        <v>36</v>
      </c>
      <c r="D25" s="3" t="s">
        <v>37</v>
      </c>
      <c r="E25" s="5">
        <v>10000000</v>
      </c>
      <c r="F25" s="5">
        <v>2000000</v>
      </c>
      <c r="G25" s="3">
        <v>92</v>
      </c>
      <c r="H25" s="5">
        <v>2000000</v>
      </c>
      <c r="I25" s="1"/>
      <c r="J25" s="3" t="s">
        <v>38</v>
      </c>
      <c r="K25" s="7" t="str">
        <f t="shared" si="0"/>
        <v>Ethan Challister</v>
      </c>
      <c r="L25" s="7" t="str">
        <f t="shared" si="1"/>
        <v>Manager</v>
      </c>
      <c r="M25" s="34">
        <f t="shared" si="2"/>
        <v>10000000</v>
      </c>
      <c r="N25" s="34">
        <f t="shared" si="3"/>
        <v>2000000</v>
      </c>
      <c r="O25" s="33">
        <f t="shared" si="4"/>
        <v>2100000</v>
      </c>
      <c r="P25" s="33">
        <f t="shared" si="5"/>
        <v>14100000</v>
      </c>
      <c r="Q25" s="10" t="str" cm="1">
        <f t="array" ref="Q25">_xlfn.IFS(_xlfn.XLOOKUP(J25,$A$21:$A$50,$G$21:$G$50)&gt;=90,"Sangat Baik",_xlfn.XLOOKUP(J25,$A$21:$A$50,$G$21:$G$50)&gt;=80,"Baik",_xlfn.XLOOKUP(J25,$A$21:$A$50,$G$21:$G$50)&lt;80,"Perlu Evaluasi")</f>
        <v>Sangat Baik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" t="s">
        <v>39</v>
      </c>
      <c r="B26" s="4" t="s">
        <v>40</v>
      </c>
      <c r="C26" s="4" t="s">
        <v>20</v>
      </c>
      <c r="D26" s="3" t="s">
        <v>25</v>
      </c>
      <c r="E26" s="5">
        <v>5000000</v>
      </c>
      <c r="F26" s="5">
        <v>700000</v>
      </c>
      <c r="G26" s="3">
        <v>60</v>
      </c>
      <c r="H26" s="5">
        <v>200000</v>
      </c>
      <c r="I26" s="1"/>
      <c r="J26" s="3" t="s">
        <v>41</v>
      </c>
      <c r="K26" s="7" t="str">
        <f t="shared" si="0"/>
        <v>Yavita Orlenza</v>
      </c>
      <c r="L26" s="7" t="str">
        <f t="shared" si="1"/>
        <v>Manager</v>
      </c>
      <c r="M26" s="34">
        <f t="shared" si="2"/>
        <v>10000000</v>
      </c>
      <c r="N26" s="34">
        <f t="shared" si="3"/>
        <v>2000000</v>
      </c>
      <c r="O26" s="33">
        <f t="shared" si="4"/>
        <v>1900000</v>
      </c>
      <c r="P26" s="33">
        <f t="shared" si="5"/>
        <v>13900000</v>
      </c>
      <c r="Q26" s="10" t="str" cm="1">
        <f t="array" ref="Q26">_xlfn.IFS(_xlfn.XLOOKUP(J26,$A$21:$A$50,$G$21:$G$50)&gt;=90,"Sangat Baik",_xlfn.XLOOKUP(J26,$A$21:$A$50,$G$21:$G$50)&gt;=80,"Baik",_xlfn.XLOOKUP(J26,$A$21:$A$50,$G$21:$G$50)&lt;80,"Perlu Evaluasi")</f>
        <v>Sangat Baik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" t="s">
        <v>26</v>
      </c>
      <c r="B27" s="4" t="s">
        <v>42</v>
      </c>
      <c r="C27" s="4" t="s">
        <v>28</v>
      </c>
      <c r="D27" s="3" t="s">
        <v>29</v>
      </c>
      <c r="E27" s="5">
        <v>7000000</v>
      </c>
      <c r="F27" s="5">
        <v>1000000</v>
      </c>
      <c r="G27" s="3">
        <v>95</v>
      </c>
      <c r="H27" s="5">
        <v>1500000</v>
      </c>
      <c r="I27" s="1"/>
      <c r="J27" s="3" t="s">
        <v>43</v>
      </c>
      <c r="K27" s="7" t="str">
        <f t="shared" si="0"/>
        <v>Yichen Luo</v>
      </c>
      <c r="L27" s="7" t="str">
        <f t="shared" si="1"/>
        <v>Supervisor</v>
      </c>
      <c r="M27" s="34">
        <f t="shared" si="2"/>
        <v>7000000</v>
      </c>
      <c r="N27" s="34">
        <f t="shared" si="3"/>
        <v>1000000</v>
      </c>
      <c r="O27" s="33">
        <f t="shared" si="4"/>
        <v>1350000</v>
      </c>
      <c r="P27" s="33">
        <f t="shared" si="5"/>
        <v>9350000</v>
      </c>
      <c r="Q27" s="10" t="str" cm="1">
        <f t="array" ref="Q27">_xlfn.IFS(_xlfn.XLOOKUP(J27,$A$21:$A$50,$G$21:$G$50)&gt;=90,"Sangat Baik",_xlfn.XLOOKUP(J27,$A$21:$A$50,$G$21:$G$50)&gt;=80,"Baik",_xlfn.XLOOKUP(J27,$A$21:$A$50,$G$21:$G$50)&lt;80,"Perlu Evaluasi")</f>
        <v>Baik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" t="s">
        <v>44</v>
      </c>
      <c r="B28" s="4" t="s">
        <v>45</v>
      </c>
      <c r="C28" s="4" t="s">
        <v>20</v>
      </c>
      <c r="D28" s="3" t="s">
        <v>21</v>
      </c>
      <c r="E28" s="5">
        <v>4500000</v>
      </c>
      <c r="F28" s="5">
        <v>500000</v>
      </c>
      <c r="G28" s="3">
        <v>78</v>
      </c>
      <c r="H28" s="5">
        <v>400000</v>
      </c>
      <c r="I28" s="1"/>
      <c r="J28" s="8" t="s">
        <v>23</v>
      </c>
      <c r="K28" s="7" t="str">
        <f t="shared" si="0"/>
        <v>Hana Lin</v>
      </c>
      <c r="L28" s="7" t="str">
        <f t="shared" si="1"/>
        <v>Staff</v>
      </c>
      <c r="M28" s="34">
        <f t="shared" si="2"/>
        <v>5000000</v>
      </c>
      <c r="N28" s="34">
        <f t="shared" si="3"/>
        <v>700000</v>
      </c>
      <c r="O28" s="33">
        <f t="shared" si="4"/>
        <v>1000000</v>
      </c>
      <c r="P28" s="33">
        <f t="shared" si="5"/>
        <v>6700000</v>
      </c>
      <c r="Q28" s="10" t="str" cm="1">
        <f t="array" ref="Q28">_xlfn.IFS(_xlfn.XLOOKUP(J28,$A$21:$A$50,$G$21:$G$50)&gt;=90,"Sangat Baik",_xlfn.XLOOKUP(J28,$A$21:$A$50,$G$21:$G$50)&gt;=80,"Baik",_xlfn.XLOOKUP(J28,$A$21:$A$50,$G$21:$G$50)&lt;80,"Perlu Evaluasi")</f>
        <v>Sangat Baik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" t="s">
        <v>46</v>
      </c>
      <c r="B29" s="4" t="s">
        <v>47</v>
      </c>
      <c r="C29" s="4" t="s">
        <v>20</v>
      </c>
      <c r="D29" s="3" t="s">
        <v>25</v>
      </c>
      <c r="E29" s="5">
        <v>5000000</v>
      </c>
      <c r="F29" s="5">
        <v>700000</v>
      </c>
      <c r="G29" s="3">
        <v>82</v>
      </c>
      <c r="H29" s="5">
        <v>600000</v>
      </c>
      <c r="I29" s="1"/>
      <c r="J29" s="8" t="s">
        <v>31</v>
      </c>
      <c r="K29" s="7" t="str">
        <f t="shared" si="0"/>
        <v>Vanya Ruselina</v>
      </c>
      <c r="L29" s="7" t="str">
        <f t="shared" si="1"/>
        <v>Staff</v>
      </c>
      <c r="M29" s="34">
        <f t="shared" si="2"/>
        <v>4500000</v>
      </c>
      <c r="N29" s="34">
        <f t="shared" si="3"/>
        <v>500000</v>
      </c>
      <c r="O29" s="33">
        <f t="shared" si="4"/>
        <v>300000</v>
      </c>
      <c r="P29" s="33">
        <f t="shared" si="5"/>
        <v>5300000</v>
      </c>
      <c r="Q29" s="10" t="str" cm="1">
        <f t="array" ref="Q29">_xlfn.IFS(_xlfn.XLOOKUP(J29,$A$21:$A$50,$G$21:$G$50)&gt;=90,"Sangat Baik",_xlfn.XLOOKUP(J29,$A$21:$A$50,$G$21:$G$50)&gt;=80,"Baik",_xlfn.XLOOKUP(J29,$A$21:$A$50,$G$21:$G$50)&lt;80,"Perlu Evaluasi")</f>
        <v>Perlu Evaluasi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" t="s">
        <v>48</v>
      </c>
      <c r="B30" s="4" t="s">
        <v>49</v>
      </c>
      <c r="C30" s="4" t="s">
        <v>36</v>
      </c>
      <c r="D30" s="3" t="s">
        <v>37</v>
      </c>
      <c r="E30" s="5">
        <v>10000000</v>
      </c>
      <c r="F30" s="5">
        <v>2000000</v>
      </c>
      <c r="G30" s="3">
        <v>88</v>
      </c>
      <c r="H30" s="5">
        <v>1800000</v>
      </c>
      <c r="I30" s="1"/>
      <c r="J30" s="8" t="s">
        <v>18</v>
      </c>
      <c r="K30" s="7" t="str">
        <f t="shared" si="0"/>
        <v>Loka Wiranta</v>
      </c>
      <c r="L30" s="7" t="str">
        <f t="shared" si="1"/>
        <v>Staff</v>
      </c>
      <c r="M30" s="34">
        <f t="shared" si="2"/>
        <v>4500000</v>
      </c>
      <c r="N30" s="34">
        <f t="shared" si="3"/>
        <v>500000</v>
      </c>
      <c r="O30" s="33">
        <f t="shared" si="4"/>
        <v>750000</v>
      </c>
      <c r="P30" s="33">
        <f t="shared" si="5"/>
        <v>5750000</v>
      </c>
      <c r="Q30" s="10" t="str" cm="1">
        <f t="array" ref="Q30">_xlfn.IFS(_xlfn.XLOOKUP(J30,$A$21:$A$50,$G$21:$G$50)&gt;=90,"Sangat Baik",_xlfn.XLOOKUP(J30,$A$21:$A$50,$G$21:$G$50)&gt;=80,"Baik",_xlfn.XLOOKUP(J30,$A$21:$A$50,$G$21:$G$50)&lt;80,"Perlu Evaluasi")</f>
        <v>Baik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" t="s">
        <v>30</v>
      </c>
      <c r="B31" s="4" t="s">
        <v>50</v>
      </c>
      <c r="C31" s="4" t="s">
        <v>20</v>
      </c>
      <c r="D31" s="3" t="s">
        <v>21</v>
      </c>
      <c r="E31" s="5">
        <v>4500000</v>
      </c>
      <c r="F31" s="5">
        <v>500000</v>
      </c>
      <c r="G31" s="3">
        <v>91</v>
      </c>
      <c r="H31" s="5">
        <v>900000</v>
      </c>
      <c r="I31" s="1"/>
      <c r="J31" s="8" t="s">
        <v>46</v>
      </c>
      <c r="K31" s="7" t="str">
        <f t="shared" si="0"/>
        <v>Jefro Malantara</v>
      </c>
      <c r="L31" s="7" t="str">
        <f t="shared" si="1"/>
        <v>Staff</v>
      </c>
      <c r="M31" s="34">
        <f t="shared" si="2"/>
        <v>5000000</v>
      </c>
      <c r="N31" s="34">
        <f t="shared" si="3"/>
        <v>700000</v>
      </c>
      <c r="O31" s="33">
        <f t="shared" si="4"/>
        <v>600000</v>
      </c>
      <c r="P31" s="33">
        <f t="shared" si="5"/>
        <v>6300000</v>
      </c>
      <c r="Q31" s="10" t="str" cm="1">
        <f t="array" ref="Q31">_xlfn.IFS(_xlfn.XLOOKUP(J31,$A$21:$A$50,$G$21:$G$50)&gt;=90,"Sangat Baik",_xlfn.XLOOKUP(J31,$A$21:$A$50,$G$21:$G$50)&gt;=80,"Baik",_xlfn.XLOOKUP(J31,$A$21:$A$50,$G$21:$G$50)&lt;80,"Perlu Evaluasi")</f>
        <v>Baik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" t="s">
        <v>51</v>
      </c>
      <c r="B32" s="4" t="s">
        <v>52</v>
      </c>
      <c r="C32" s="4" t="s">
        <v>28</v>
      </c>
      <c r="D32" s="3" t="s">
        <v>29</v>
      </c>
      <c r="E32" s="5">
        <v>7000000</v>
      </c>
      <c r="F32" s="5">
        <v>1000000</v>
      </c>
      <c r="G32" s="3">
        <v>87</v>
      </c>
      <c r="H32" s="5">
        <v>1100000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3" t="s">
        <v>53</v>
      </c>
      <c r="B33" s="4" t="s">
        <v>54</v>
      </c>
      <c r="C33" s="4" t="s">
        <v>36</v>
      </c>
      <c r="D33" s="3" t="s">
        <v>37</v>
      </c>
      <c r="E33" s="5">
        <v>10000000</v>
      </c>
      <c r="F33" s="5">
        <v>2000000</v>
      </c>
      <c r="G33" s="3">
        <v>94</v>
      </c>
      <c r="H33" s="5">
        <v>2200000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3" t="s">
        <v>55</v>
      </c>
      <c r="B34" s="4" t="s">
        <v>56</v>
      </c>
      <c r="C34" s="4" t="s">
        <v>20</v>
      </c>
      <c r="D34" s="3" t="s">
        <v>25</v>
      </c>
      <c r="E34" s="5">
        <v>5000000</v>
      </c>
      <c r="F34" s="5">
        <v>700000</v>
      </c>
      <c r="G34" s="3">
        <v>76</v>
      </c>
      <c r="H34" s="5">
        <v>350000</v>
      </c>
      <c r="I34" s="1"/>
      <c r="J34" s="20" t="s">
        <v>57</v>
      </c>
      <c r="K34" s="13"/>
      <c r="L34" s="13"/>
      <c r="M34" s="13"/>
      <c r="N34" s="13"/>
      <c r="O34" s="13"/>
      <c r="P34" s="13"/>
      <c r="Q34" s="14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3" t="s">
        <v>33</v>
      </c>
      <c r="B35" s="4" t="s">
        <v>58</v>
      </c>
      <c r="C35" s="4" t="s">
        <v>20</v>
      </c>
      <c r="D35" s="3" t="s">
        <v>21</v>
      </c>
      <c r="E35" s="5">
        <v>4500000</v>
      </c>
      <c r="F35" s="5">
        <v>500000</v>
      </c>
      <c r="G35" s="3">
        <v>83</v>
      </c>
      <c r="H35" s="5">
        <v>650000</v>
      </c>
      <c r="I35" s="1"/>
      <c r="J35" s="21" t="s">
        <v>59</v>
      </c>
      <c r="K35" s="13"/>
      <c r="L35" s="13"/>
      <c r="M35" s="13"/>
      <c r="N35" s="13"/>
      <c r="O35" s="13"/>
      <c r="P35" s="13"/>
      <c r="Q35" s="14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3" t="s">
        <v>60</v>
      </c>
      <c r="B36" s="4" t="s">
        <v>61</v>
      </c>
      <c r="C36" s="4" t="s">
        <v>28</v>
      </c>
      <c r="D36" s="3" t="s">
        <v>29</v>
      </c>
      <c r="E36" s="5">
        <v>7000000</v>
      </c>
      <c r="F36" s="5">
        <v>1000000</v>
      </c>
      <c r="G36" s="3">
        <v>89</v>
      </c>
      <c r="H36" s="5">
        <v>1300000</v>
      </c>
      <c r="I36" s="1"/>
      <c r="J36" s="22" t="s">
        <v>62</v>
      </c>
      <c r="K36" s="13"/>
      <c r="L36" s="13"/>
      <c r="M36" s="13"/>
      <c r="N36" s="13"/>
      <c r="O36" s="13"/>
      <c r="P36" s="13"/>
      <c r="Q36" s="14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3" t="s">
        <v>63</v>
      </c>
      <c r="B37" s="4" t="s">
        <v>64</v>
      </c>
      <c r="C37" s="4" t="s">
        <v>36</v>
      </c>
      <c r="D37" s="3" t="s">
        <v>37</v>
      </c>
      <c r="E37" s="5">
        <v>10000000</v>
      </c>
      <c r="F37" s="5">
        <v>2000000</v>
      </c>
      <c r="G37" s="3">
        <v>96</v>
      </c>
      <c r="H37" s="5">
        <v>2500000</v>
      </c>
      <c r="I37" s="1"/>
      <c r="J37" s="25" t="s">
        <v>65</v>
      </c>
      <c r="K37" s="26"/>
      <c r="L37" s="26"/>
      <c r="M37" s="26"/>
      <c r="N37" s="26"/>
      <c r="O37" s="26"/>
      <c r="P37" s="26"/>
      <c r="Q37" s="27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3" t="s">
        <v>66</v>
      </c>
      <c r="B38" s="4" t="s">
        <v>67</v>
      </c>
      <c r="C38" s="4" t="s">
        <v>20</v>
      </c>
      <c r="D38" s="3" t="s">
        <v>25</v>
      </c>
      <c r="E38" s="5">
        <v>5000000</v>
      </c>
      <c r="F38" s="5">
        <v>700000</v>
      </c>
      <c r="G38" s="3">
        <v>84</v>
      </c>
      <c r="H38" s="5">
        <v>700000</v>
      </c>
      <c r="I38" s="1"/>
      <c r="J38" s="30"/>
      <c r="K38" s="31"/>
      <c r="L38" s="31"/>
      <c r="M38" s="31"/>
      <c r="N38" s="31"/>
      <c r="O38" s="31"/>
      <c r="P38" s="31"/>
      <c r="Q38" s="32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3" t="s">
        <v>68</v>
      </c>
      <c r="B39" s="4" t="s">
        <v>69</v>
      </c>
      <c r="C39" s="4" t="s">
        <v>28</v>
      </c>
      <c r="D39" s="3" t="s">
        <v>29</v>
      </c>
      <c r="E39" s="5">
        <v>7000000</v>
      </c>
      <c r="F39" s="5">
        <v>1000000</v>
      </c>
      <c r="G39" s="3">
        <v>91</v>
      </c>
      <c r="H39" s="5">
        <v>1400000</v>
      </c>
      <c r="I39" s="1"/>
      <c r="J39" s="22" t="s">
        <v>70</v>
      </c>
      <c r="K39" s="13"/>
      <c r="L39" s="13"/>
      <c r="M39" s="13"/>
      <c r="N39" s="13"/>
      <c r="O39" s="13"/>
      <c r="P39" s="13"/>
      <c r="Q39" s="14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3" t="s">
        <v>71</v>
      </c>
      <c r="B40" s="4" t="s">
        <v>72</v>
      </c>
      <c r="C40" s="4" t="s">
        <v>20</v>
      </c>
      <c r="D40" s="3" t="s">
        <v>21</v>
      </c>
      <c r="E40" s="5">
        <v>4500000</v>
      </c>
      <c r="F40" s="5">
        <v>500000</v>
      </c>
      <c r="G40" s="3">
        <v>79</v>
      </c>
      <c r="H40" s="5">
        <v>450000</v>
      </c>
      <c r="I40" s="1"/>
      <c r="J40" s="21" t="s">
        <v>73</v>
      </c>
      <c r="K40" s="13"/>
      <c r="L40" s="13"/>
      <c r="M40" s="13"/>
      <c r="N40" s="13"/>
      <c r="O40" s="13"/>
      <c r="P40" s="13"/>
      <c r="Q40" s="14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3" t="s">
        <v>38</v>
      </c>
      <c r="B41" s="4" t="s">
        <v>74</v>
      </c>
      <c r="C41" s="4" t="s">
        <v>36</v>
      </c>
      <c r="D41" s="3" t="s">
        <v>37</v>
      </c>
      <c r="E41" s="5">
        <v>10000000</v>
      </c>
      <c r="F41" s="5">
        <v>2000000</v>
      </c>
      <c r="G41" s="3">
        <v>93</v>
      </c>
      <c r="H41" s="5">
        <v>2100000</v>
      </c>
      <c r="I41" s="1"/>
      <c r="J41" s="22" t="s">
        <v>75</v>
      </c>
      <c r="K41" s="13"/>
      <c r="L41" s="13"/>
      <c r="M41" s="13"/>
      <c r="N41" s="13"/>
      <c r="O41" s="13"/>
      <c r="P41" s="13"/>
      <c r="Q41" s="14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3" t="s">
        <v>76</v>
      </c>
      <c r="B42" s="4" t="s">
        <v>77</v>
      </c>
      <c r="C42" s="4" t="s">
        <v>20</v>
      </c>
      <c r="D42" s="3" t="s">
        <v>25</v>
      </c>
      <c r="E42" s="5">
        <v>5000000</v>
      </c>
      <c r="F42" s="5">
        <v>700000</v>
      </c>
      <c r="G42" s="3">
        <v>77</v>
      </c>
      <c r="H42" s="5">
        <v>500000</v>
      </c>
      <c r="I42" s="1"/>
      <c r="J42" s="25" t="s">
        <v>78</v>
      </c>
      <c r="K42" s="26"/>
      <c r="L42" s="26"/>
      <c r="M42" s="26"/>
      <c r="N42" s="26"/>
      <c r="O42" s="26"/>
      <c r="P42" s="26"/>
      <c r="Q42" s="27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" t="s">
        <v>79</v>
      </c>
      <c r="B43" s="4" t="s">
        <v>80</v>
      </c>
      <c r="C43" s="4" t="s">
        <v>28</v>
      </c>
      <c r="D43" s="3" t="s">
        <v>29</v>
      </c>
      <c r="E43" s="5">
        <v>7000000</v>
      </c>
      <c r="F43" s="5">
        <v>1000000</v>
      </c>
      <c r="G43" s="3">
        <v>86</v>
      </c>
      <c r="H43" s="5">
        <v>1000000</v>
      </c>
      <c r="I43" s="1"/>
      <c r="J43" s="30"/>
      <c r="K43" s="31"/>
      <c r="L43" s="31"/>
      <c r="M43" s="31"/>
      <c r="N43" s="31"/>
      <c r="O43" s="31"/>
      <c r="P43" s="31"/>
      <c r="Q43" s="32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" t="s">
        <v>81</v>
      </c>
      <c r="B44" s="4" t="s">
        <v>82</v>
      </c>
      <c r="C44" s="4" t="s">
        <v>20</v>
      </c>
      <c r="D44" s="3" t="s">
        <v>21</v>
      </c>
      <c r="E44" s="5">
        <v>4500000</v>
      </c>
      <c r="F44" s="5">
        <v>500000</v>
      </c>
      <c r="G44" s="3">
        <v>81</v>
      </c>
      <c r="H44" s="5">
        <v>600000</v>
      </c>
      <c r="I44" s="1"/>
      <c r="J44" s="22" t="s">
        <v>83</v>
      </c>
      <c r="K44" s="13"/>
      <c r="L44" s="13"/>
      <c r="M44" s="13"/>
      <c r="N44" s="13"/>
      <c r="O44" s="13"/>
      <c r="P44" s="13"/>
      <c r="Q44" s="14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 t="s">
        <v>41</v>
      </c>
      <c r="B45" s="4" t="s">
        <v>84</v>
      </c>
      <c r="C45" s="4" t="s">
        <v>36</v>
      </c>
      <c r="D45" s="3" t="s">
        <v>37</v>
      </c>
      <c r="E45" s="5">
        <v>10000000</v>
      </c>
      <c r="F45" s="5">
        <v>2000000</v>
      </c>
      <c r="G45" s="3">
        <v>90</v>
      </c>
      <c r="H45" s="5">
        <v>1900000</v>
      </c>
      <c r="I45" s="1"/>
      <c r="J45" s="21" t="s">
        <v>85</v>
      </c>
      <c r="K45" s="13"/>
      <c r="L45" s="13"/>
      <c r="M45" s="13"/>
      <c r="N45" s="13"/>
      <c r="O45" s="13"/>
      <c r="P45" s="13"/>
      <c r="Q45" s="14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" t="s">
        <v>86</v>
      </c>
      <c r="B46" s="4" t="s">
        <v>87</v>
      </c>
      <c r="C46" s="4" t="s">
        <v>20</v>
      </c>
      <c r="D46" s="3" t="s">
        <v>25</v>
      </c>
      <c r="E46" s="5">
        <v>5000000</v>
      </c>
      <c r="F46" s="5">
        <v>700000</v>
      </c>
      <c r="G46" s="3">
        <v>73</v>
      </c>
      <c r="H46" s="5">
        <v>350000</v>
      </c>
      <c r="I46" s="1"/>
      <c r="J46" s="22" t="s">
        <v>88</v>
      </c>
      <c r="K46" s="13"/>
      <c r="L46" s="13"/>
      <c r="M46" s="13"/>
      <c r="N46" s="13"/>
      <c r="O46" s="13"/>
      <c r="P46" s="13"/>
      <c r="Q46" s="14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" t="s">
        <v>89</v>
      </c>
      <c r="B47" s="4" t="s">
        <v>90</v>
      </c>
      <c r="C47" s="4" t="s">
        <v>28</v>
      </c>
      <c r="D47" s="3" t="s">
        <v>29</v>
      </c>
      <c r="E47" s="5">
        <v>7000000</v>
      </c>
      <c r="F47" s="5">
        <v>1000000</v>
      </c>
      <c r="G47" s="3">
        <v>92</v>
      </c>
      <c r="H47" s="5">
        <v>1500000</v>
      </c>
      <c r="I47" s="1"/>
      <c r="J47" s="22" t="s">
        <v>91</v>
      </c>
      <c r="K47" s="13"/>
      <c r="L47" s="13"/>
      <c r="M47" s="13"/>
      <c r="N47" s="13"/>
      <c r="O47" s="13"/>
      <c r="P47" s="13"/>
      <c r="Q47" s="14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" t="s">
        <v>92</v>
      </c>
      <c r="B48" s="4" t="s">
        <v>93</v>
      </c>
      <c r="C48" s="4" t="s">
        <v>20</v>
      </c>
      <c r="D48" s="3" t="s">
        <v>21</v>
      </c>
      <c r="E48" s="5">
        <v>4500000</v>
      </c>
      <c r="F48" s="5">
        <v>500000</v>
      </c>
      <c r="G48" s="3">
        <v>88</v>
      </c>
      <c r="H48" s="5">
        <v>800000</v>
      </c>
      <c r="I48" s="1"/>
      <c r="J48" s="22" t="s">
        <v>94</v>
      </c>
      <c r="K48" s="13"/>
      <c r="L48" s="13"/>
      <c r="M48" s="13"/>
      <c r="N48" s="13"/>
      <c r="O48" s="13"/>
      <c r="P48" s="13"/>
      <c r="Q48" s="14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" t="s">
        <v>95</v>
      </c>
      <c r="B49" s="4" t="s">
        <v>96</v>
      </c>
      <c r="C49" s="4" t="s">
        <v>36</v>
      </c>
      <c r="D49" s="3" t="s">
        <v>37</v>
      </c>
      <c r="E49" s="5">
        <v>10000000</v>
      </c>
      <c r="F49" s="5">
        <v>2000000</v>
      </c>
      <c r="G49" s="3">
        <v>95</v>
      </c>
      <c r="H49" s="5">
        <v>2300000</v>
      </c>
      <c r="I49" s="1"/>
      <c r="J49" s="21" t="s">
        <v>97</v>
      </c>
      <c r="K49" s="13"/>
      <c r="L49" s="13"/>
      <c r="M49" s="13"/>
      <c r="N49" s="13"/>
      <c r="O49" s="13"/>
      <c r="P49" s="13"/>
      <c r="Q49" s="14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" t="s">
        <v>43</v>
      </c>
      <c r="B50" s="4" t="s">
        <v>98</v>
      </c>
      <c r="C50" s="4" t="s">
        <v>28</v>
      </c>
      <c r="D50" s="3" t="s">
        <v>29</v>
      </c>
      <c r="E50" s="5">
        <v>7000000</v>
      </c>
      <c r="F50" s="5">
        <v>1000000</v>
      </c>
      <c r="G50" s="3">
        <v>89</v>
      </c>
      <c r="H50" s="5">
        <v>1350000</v>
      </c>
      <c r="I50" s="1"/>
      <c r="J50" s="22" t="s">
        <v>99</v>
      </c>
      <c r="K50" s="13"/>
      <c r="L50" s="13"/>
      <c r="M50" s="13"/>
      <c r="N50" s="13"/>
      <c r="O50" s="13"/>
      <c r="P50" s="13"/>
      <c r="Q50" s="14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25" t="s">
        <v>100</v>
      </c>
      <c r="K51" s="26"/>
      <c r="L51" s="26"/>
      <c r="M51" s="26"/>
      <c r="N51" s="26"/>
      <c r="O51" s="26"/>
      <c r="P51" s="26"/>
      <c r="Q51" s="27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28"/>
      <c r="K52" s="17"/>
      <c r="L52" s="17"/>
      <c r="M52" s="17"/>
      <c r="N52" s="17"/>
      <c r="O52" s="17"/>
      <c r="P52" s="17"/>
      <c r="Q52" s="29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28"/>
      <c r="K53" s="17"/>
      <c r="L53" s="17"/>
      <c r="M53" s="17"/>
      <c r="N53" s="17"/>
      <c r="O53" s="17"/>
      <c r="P53" s="17"/>
      <c r="Q53" s="29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30"/>
      <c r="K54" s="31"/>
      <c r="L54" s="31"/>
      <c r="M54" s="31"/>
      <c r="N54" s="31"/>
      <c r="O54" s="31"/>
      <c r="P54" s="31"/>
      <c r="Q54" s="32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22" t="s">
        <v>101</v>
      </c>
      <c r="K55" s="13"/>
      <c r="L55" s="13"/>
      <c r="M55" s="13"/>
      <c r="N55" s="13"/>
      <c r="O55" s="13"/>
      <c r="P55" s="13"/>
      <c r="Q55" s="14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J48:Q48"/>
    <mergeCell ref="J49:Q49"/>
    <mergeCell ref="J50:Q50"/>
    <mergeCell ref="J55:Q55"/>
    <mergeCell ref="A1:Q3"/>
    <mergeCell ref="A8:H16"/>
    <mergeCell ref="J37:Q38"/>
    <mergeCell ref="J51:Q54"/>
    <mergeCell ref="J42:Q43"/>
    <mergeCell ref="J41:Q41"/>
    <mergeCell ref="J44:Q44"/>
    <mergeCell ref="J45:Q45"/>
    <mergeCell ref="J46:Q46"/>
    <mergeCell ref="J47:Q47"/>
    <mergeCell ref="J34:Q34"/>
    <mergeCell ref="J35:Q35"/>
    <mergeCell ref="J36:Q36"/>
    <mergeCell ref="J39:Q39"/>
    <mergeCell ref="J40:Q40"/>
    <mergeCell ref="A6:H6"/>
    <mergeCell ref="A7:H7"/>
    <mergeCell ref="A18:H18"/>
    <mergeCell ref="A19:H19"/>
    <mergeCell ref="J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Jawaban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ASPIRE</cp:lastModifiedBy>
  <dcterms:created xsi:type="dcterms:W3CDTF">2026-05-10T12:36:11Z</dcterms:created>
  <dcterms:modified xsi:type="dcterms:W3CDTF">2026-09-24T02:33:01Z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3CFAA1800AAF7C42440B006AE662FF38_43</vt:lpwstr>
  </property>
  <property fmtid="{D5CDD505-2E9C-101B-9397-08002B2CF9AE}" pid="3" name="KSOProductBuildVer">
    <vt:lpwstr>1033-12.8.2.22595</vt:lpwstr>
  </property>
</Properties>
</file>