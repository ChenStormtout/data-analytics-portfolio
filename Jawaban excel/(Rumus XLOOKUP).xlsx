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portfo\Jawaban excel\"/>
    </mc:Choice>
  </mc:AlternateContent>
  <xr:revisionPtr revIDLastSave="0" documentId="8_{59ECAE24-BA9C-4D15-B1F2-BF53094CB0D8}" xr6:coauthVersionLast="47" xr6:coauthVersionMax="47" xr10:uidLastSave="{00000000-0000-0000-0000-000000000000}"/>
  <bookViews>
    <workbookView xWindow="-108" yWindow="-108" windowWidth="23256" windowHeight="12456" xr2:uid="{00000000-000D-0000-FFFF-FFFF00000000}"/>
  </bookViews>
  <sheets>
    <sheet name="Data Acuan" sheetId="1" r:id="rId1"/>
    <sheet name="Jawaban" sheetId="2" r:id="rId2"/>
    <sheet name="So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3" l="1"/>
  <c r="I8" i="3"/>
  <c r="I9" i="3"/>
  <c r="I10" i="3"/>
  <c r="I11" i="3"/>
  <c r="I12" i="3"/>
  <c r="I13" i="3"/>
  <c r="I14" i="3"/>
  <c r="I15" i="3"/>
  <c r="I16" i="3"/>
  <c r="I17" i="3"/>
  <c r="I18" i="3"/>
  <c r="I19" i="3"/>
  <c r="I20" i="3"/>
  <c r="I6" i="3"/>
  <c r="H7" i="3"/>
  <c r="H8" i="3"/>
  <c r="H9" i="3"/>
  <c r="H10" i="3"/>
  <c r="H11" i="3"/>
  <c r="H12" i="3"/>
  <c r="H13" i="3"/>
  <c r="H14" i="3"/>
  <c r="H15" i="3"/>
  <c r="H16" i="3"/>
  <c r="H17" i="3"/>
  <c r="H18" i="3"/>
  <c r="H19" i="3"/>
  <c r="H20" i="3"/>
  <c r="H6" i="3"/>
  <c r="H6" i="2"/>
  <c r="G7" i="3"/>
  <c r="G8" i="3"/>
  <c r="G9" i="3"/>
  <c r="G10" i="3"/>
  <c r="G11" i="3"/>
  <c r="G12" i="3"/>
  <c r="G13" i="3"/>
  <c r="G14" i="3"/>
  <c r="G15" i="3"/>
  <c r="G16" i="3"/>
  <c r="G17" i="3"/>
  <c r="G18" i="3"/>
  <c r="G19" i="3"/>
  <c r="G20" i="3"/>
  <c r="G6" i="3"/>
  <c r="H7" i="2" a="1"/>
  <c r="H7" i="2"/>
  <c r="E7" i="3"/>
  <c r="E8" i="3"/>
  <c r="E9" i="3"/>
  <c r="E10" i="3"/>
  <c r="E11" i="3"/>
  <c r="E12" i="3"/>
  <c r="E13" i="3"/>
  <c r="E14" i="3"/>
  <c r="E15" i="3"/>
  <c r="E16" i="3"/>
  <c r="E17" i="3"/>
  <c r="E18" i="3"/>
  <c r="E19" i="3"/>
  <c r="E20" i="3"/>
  <c r="E6" i="3"/>
  <c r="C7" i="3"/>
  <c r="C8" i="3"/>
  <c r="C9" i="3"/>
  <c r="C10" i="3"/>
  <c r="C11" i="3"/>
  <c r="C12" i="3"/>
  <c r="C13" i="3"/>
  <c r="C14" i="3"/>
  <c r="C15" i="3"/>
  <c r="C16" i="3"/>
  <c r="C17" i="3"/>
  <c r="C18" i="3"/>
  <c r="C19" i="3"/>
  <c r="C20" i="3"/>
  <c r="C6" i="3"/>
  <c r="I20" i="2" a="1"/>
  <c r="I20" i="2"/>
  <c r="H20" i="2" a="1"/>
  <c r="H20" i="2"/>
  <c r="G20" i="2" a="1"/>
  <c r="G20" i="2"/>
  <c r="E20" i="2" a="1"/>
  <c r="E20" i="2"/>
  <c r="C20" i="2" a="1"/>
  <c r="C20" i="2"/>
  <c r="I19" i="2" a="1"/>
  <c r="I19" i="2"/>
  <c r="H19" i="2" a="1"/>
  <c r="H19" i="2"/>
  <c r="G19" i="2" a="1"/>
  <c r="G19" i="2"/>
  <c r="E19" i="2" a="1"/>
  <c r="E19" i="2"/>
  <c r="C19" i="2" a="1"/>
  <c r="C19" i="2"/>
  <c r="I18" i="2" a="1"/>
  <c r="I18" i="2"/>
  <c r="H18" i="2" a="1"/>
  <c r="H18" i="2"/>
  <c r="G18" i="2" a="1"/>
  <c r="G18" i="2"/>
  <c r="E18" i="2" a="1"/>
  <c r="E18" i="2"/>
  <c r="C18" i="2" a="1"/>
  <c r="C18" i="2"/>
  <c r="I17" i="2" a="1"/>
  <c r="I17" i="2"/>
  <c r="H17" i="2" a="1"/>
  <c r="H17" i="2"/>
  <c r="G17" i="2" a="1"/>
  <c r="G17" i="2"/>
  <c r="E17" i="2" a="1"/>
  <c r="E17" i="2"/>
  <c r="C17" i="2" a="1"/>
  <c r="C17" i="2"/>
  <c r="I16" i="2" a="1"/>
  <c r="I16" i="2"/>
  <c r="H16" i="2" a="1"/>
  <c r="H16" i="2"/>
  <c r="G16" i="2" a="1"/>
  <c r="G16" i="2"/>
  <c r="E16" i="2" a="1"/>
  <c r="E16" i="2"/>
  <c r="C16" i="2" a="1"/>
  <c r="C16" i="2"/>
  <c r="I15" i="2" a="1"/>
  <c r="I15" i="2"/>
  <c r="H15" i="2" a="1"/>
  <c r="H15" i="2"/>
  <c r="G15" i="2" a="1"/>
  <c r="G15" i="2"/>
  <c r="E15" i="2" a="1"/>
  <c r="E15" i="2"/>
  <c r="C15" i="2" a="1"/>
  <c r="C15" i="2"/>
  <c r="I14" i="2" a="1"/>
  <c r="I14" i="2"/>
  <c r="H14" i="2" a="1"/>
  <c r="H14" i="2"/>
  <c r="G14" i="2" a="1"/>
  <c r="G14" i="2"/>
  <c r="E14" i="2" a="1"/>
  <c r="E14" i="2"/>
  <c r="C14" i="2" a="1"/>
  <c r="C14" i="2"/>
  <c r="I13" i="2" a="1"/>
  <c r="I13" i="2"/>
  <c r="H13" i="2" a="1"/>
  <c r="H13" i="2"/>
  <c r="G13" i="2" a="1"/>
  <c r="G13" i="2"/>
  <c r="E13" i="2" a="1"/>
  <c r="E13" i="2"/>
  <c r="C13" i="2" a="1"/>
  <c r="C13" i="2"/>
  <c r="I12" i="2" a="1"/>
  <c r="I12" i="2"/>
  <c r="H12" i="2" a="1"/>
  <c r="H12" i="2"/>
  <c r="G12" i="2" a="1"/>
  <c r="G12" i="2"/>
  <c r="E12" i="2" a="1"/>
  <c r="E12" i="2"/>
  <c r="C12" i="2" a="1"/>
  <c r="C12" i="2"/>
  <c r="I11" i="2" a="1"/>
  <c r="I11" i="2"/>
  <c r="H11" i="2" a="1"/>
  <c r="H11" i="2"/>
  <c r="G11" i="2" a="1"/>
  <c r="G11" i="2"/>
  <c r="E11" i="2" a="1"/>
  <c r="E11" i="2"/>
  <c r="C11" i="2" a="1"/>
  <c r="C11" i="2"/>
  <c r="I10" i="2" a="1"/>
  <c r="I10" i="2"/>
  <c r="H10" i="2" a="1"/>
  <c r="H10" i="2"/>
  <c r="G10" i="2" a="1"/>
  <c r="G10" i="2"/>
  <c r="E10" i="2" a="1"/>
  <c r="E10" i="2"/>
  <c r="C10" i="2" a="1"/>
  <c r="C10" i="2"/>
  <c r="I9" i="2" a="1"/>
  <c r="I9" i="2"/>
  <c r="H9" i="2" a="1"/>
  <c r="H9" i="2"/>
  <c r="G9" i="2" a="1"/>
  <c r="G9" i="2"/>
  <c r="E9" i="2" a="1"/>
  <c r="E9" i="2"/>
  <c r="C9" i="2" a="1"/>
  <c r="C9" i="2"/>
  <c r="I8" i="2" a="1"/>
  <c r="I8" i="2"/>
  <c r="H8" i="2" a="1"/>
  <c r="H8" i="2"/>
  <c r="G8" i="2" a="1"/>
  <c r="G8" i="2"/>
  <c r="E8" i="2" a="1"/>
  <c r="E8" i="2"/>
  <c r="C8" i="2" a="1"/>
  <c r="C8" i="2"/>
  <c r="I7" i="2" a="1"/>
  <c r="I7" i="2"/>
  <c r="G7" i="2" a="1"/>
  <c r="G7" i="2"/>
  <c r="E7" i="2" a="1"/>
  <c r="E7" i="2"/>
  <c r="C7" i="2" a="1"/>
  <c r="C7" i="2"/>
  <c r="I6" i="2" a="1"/>
  <c r="I6" i="2"/>
  <c r="G6" i="2" a="1"/>
  <c r="G6" i="2"/>
  <c r="E6" i="2" a="1"/>
  <c r="E6" i="2"/>
  <c r="C6" i="2" a="1"/>
  <c r="C6" i="2"/>
</calcChain>
</file>

<file path=xl/sharedStrings.xml><?xml version="1.0" encoding="utf-8"?>
<sst xmlns="http://schemas.openxmlformats.org/spreadsheetml/2006/main" count="225" uniqueCount="93">
  <si>
    <t>GALACTIC DYNAMICS CORP.</t>
  </si>
  <si>
    <t>INSTRUKSI SOAL!</t>
  </si>
  <si>
    <t>Data Karyawan dan Penjualan</t>
  </si>
  <si>
    <t>#</t>
  </si>
  <si>
    <r>
      <rPr>
        <sz val="10"/>
        <color theme="1"/>
        <rFont val="Arial"/>
        <charset val="134"/>
      </rPr>
      <t>Pengisian setiap kolomnya menggunakan rumus</t>
    </r>
    <r>
      <rPr>
        <b/>
        <sz val="10"/>
        <color rgb="FF980000"/>
        <rFont val="Arial"/>
        <charset val="134"/>
      </rPr>
      <t xml:space="preserve"> XLOOKUP</t>
    </r>
  </si>
  <si>
    <t>Distrik Cygnus, Sektor 7, Nebula Kaledonia, Galaksi Andromeda</t>
  </si>
  <si>
    <r>
      <rPr>
        <sz val="10"/>
        <color theme="1"/>
        <rFont val="Arial"/>
        <charset val="134"/>
      </rPr>
      <t>Kolom</t>
    </r>
    <r>
      <rPr>
        <b/>
        <sz val="10"/>
        <color theme="1"/>
        <rFont val="Arial"/>
        <charset val="134"/>
      </rPr>
      <t xml:space="preserve"> NAMA KARYAWAN </t>
    </r>
    <r>
      <rPr>
        <sz val="10"/>
        <color theme="1"/>
        <rFont val="Arial"/>
        <charset val="134"/>
      </rPr>
      <t>mengacu atau mengambil data dari sheet "Data Acuan" dengan berdasarkan pada kolom</t>
    </r>
    <r>
      <rPr>
        <b/>
        <sz val="10"/>
        <color theme="1"/>
        <rFont val="Arial"/>
        <charset val="134"/>
      </rPr>
      <t xml:space="preserve"> ID KARYAWAN</t>
    </r>
    <r>
      <rPr>
        <sz val="10"/>
        <color theme="1"/>
        <rFont val="Arial"/>
        <charset val="134"/>
      </rPr>
      <t xml:space="preserve"> sebagai sel referensi atau sel kunci
</t>
    </r>
    <r>
      <rPr>
        <i/>
        <sz val="10"/>
        <color theme="1"/>
        <rFont val="Arial"/>
        <charset val="134"/>
      </rPr>
      <t>Rumus:</t>
    </r>
    <r>
      <rPr>
        <sz val="10"/>
        <color theme="1"/>
        <rFont val="Arial"/>
        <charset val="134"/>
      </rPr>
      <t xml:space="preserve">
</t>
    </r>
    <r>
      <rPr>
        <b/>
        <sz val="10"/>
        <color rgb="FF980000"/>
        <rFont val="Arial"/>
        <charset val="134"/>
      </rPr>
      <t>=XLOOUP(Kolom ID Karyawan; Kolom ID Karyawan "Data Acuan"; Kolom Nama Karyawan "Data Acuan")</t>
    </r>
  </si>
  <si>
    <t>TAHUN MUTASI</t>
  </si>
  <si>
    <t>PENEMPATAN</t>
  </si>
  <si>
    <t>POSISI JABATAN</t>
  </si>
  <si>
    <t>NAMA KARYAWAN</t>
  </si>
  <si>
    <t>ID KARYAWAN</t>
  </si>
  <si>
    <t>KOMISI YANG DIDAPAT</t>
  </si>
  <si>
    <t>PENJUALAN</t>
  </si>
  <si>
    <t>Sumedang</t>
  </si>
  <si>
    <t>Key Account Manager</t>
  </si>
  <si>
    <t>LOKA WIRANTA</t>
  </si>
  <si>
    <t>IP-001</t>
  </si>
  <si>
    <t>Bandung</t>
  </si>
  <si>
    <t>Sales Representative</t>
  </si>
  <si>
    <t>HANA LIN</t>
  </si>
  <si>
    <t>IP-002</t>
  </si>
  <si>
    <r>
      <rPr>
        <sz val="11"/>
        <color rgb="FF000000"/>
        <rFont val="Calibri, sans-serif"/>
        <charset val="134"/>
      </rPr>
      <t>Kolom</t>
    </r>
    <r>
      <rPr>
        <b/>
        <sz val="11"/>
        <color rgb="FF000000"/>
        <rFont val="Calibri, sans-serif"/>
        <charset val="134"/>
      </rPr>
      <t xml:space="preserve"> POSISI JABATAN </t>
    </r>
    <r>
      <rPr>
        <sz val="11"/>
        <color rgb="FF000000"/>
        <rFont val="Calibri, sans-serif"/>
        <charset val="134"/>
      </rPr>
      <t xml:space="preserve">mengacu atau mengambil data dari sheet "Data Acuan" dengan berdasarkan pada kolom </t>
    </r>
    <r>
      <rPr>
        <b/>
        <sz val="11"/>
        <color rgb="FF000000"/>
        <rFont val="Calibri, sans-serif"/>
        <charset val="134"/>
      </rPr>
      <t>ID KARYAWAN</t>
    </r>
    <r>
      <rPr>
        <sz val="11"/>
        <color rgb="FF000000"/>
        <rFont val="Calibri, sans-serif"/>
        <charset val="134"/>
      </rPr>
      <t xml:space="preserve"> sebagai sel referensi atau sel kunci
</t>
    </r>
    <r>
      <rPr>
        <i/>
        <sz val="11"/>
        <color rgb="FF000000"/>
        <rFont val="Calibri, sans-serif"/>
        <charset val="134"/>
      </rPr>
      <t>Rumus:</t>
    </r>
    <r>
      <rPr>
        <sz val="11"/>
        <color rgb="FF000000"/>
        <rFont val="Calibri, sans-serif"/>
        <charset val="134"/>
      </rPr>
      <t xml:space="preserve">
</t>
    </r>
    <r>
      <rPr>
        <b/>
        <sz val="11"/>
        <color rgb="FF980000"/>
        <rFont val="Calibri, sans-serif"/>
        <charset val="134"/>
      </rPr>
      <t>=XLOOKUP(Kolom ID Karyawan; Kolom ID Karyawan "Data Acuan"; Kolom Posisi Jabatan "Data Acuan")</t>
    </r>
  </si>
  <si>
    <t>Jakarta</t>
  </si>
  <si>
    <t>SUN ZHENNI</t>
  </si>
  <si>
    <t>IP-003</t>
  </si>
  <si>
    <t>Jambi</t>
  </si>
  <si>
    <t>VANYA RUSELINA</t>
  </si>
  <si>
    <t>IP-004</t>
  </si>
  <si>
    <t>Yogyakarta</t>
  </si>
  <si>
    <t>Business Development Executive</t>
  </si>
  <si>
    <t>KARYO LIMANTARA</t>
  </si>
  <si>
    <t>IP-005</t>
  </si>
  <si>
    <t>Bali</t>
  </si>
  <si>
    <t>VARO GHANTIRA</t>
  </si>
  <si>
    <t>IP-006</t>
  </si>
  <si>
    <r>
      <rPr>
        <sz val="11"/>
        <color rgb="FF000000"/>
        <rFont val="Calibri, sans-serif"/>
        <charset val="134"/>
      </rPr>
      <t>Kolom</t>
    </r>
    <r>
      <rPr>
        <b/>
        <sz val="11"/>
        <color rgb="FF000000"/>
        <rFont val="Calibri, sans-serif"/>
        <charset val="134"/>
      </rPr>
      <t xml:space="preserve"> WILAYAH PENEMPATAN</t>
    </r>
    <r>
      <rPr>
        <sz val="11"/>
        <color rgb="FF000000"/>
        <rFont val="Calibri, sans-serif"/>
        <charset val="134"/>
      </rPr>
      <t xml:space="preserve"> mengacu atau mengambil data dari sheet "Data Acuan" dengan berdasarkan pada kolom </t>
    </r>
    <r>
      <rPr>
        <b/>
        <sz val="11"/>
        <color rgb="FF000000"/>
        <rFont val="Calibri, sans-serif"/>
        <charset val="134"/>
      </rPr>
      <t>ID KARYAWAN</t>
    </r>
    <r>
      <rPr>
        <sz val="11"/>
        <color rgb="FF000000"/>
        <rFont val="Calibri, sans-serif"/>
        <charset val="134"/>
      </rPr>
      <t xml:space="preserve"> sebagai sel referensi atau sel kunci
</t>
    </r>
    <r>
      <rPr>
        <i/>
        <sz val="11"/>
        <color rgb="FF000000"/>
        <rFont val="Calibri, sans-serif"/>
        <charset val="134"/>
      </rPr>
      <t>Rumus:</t>
    </r>
    <r>
      <rPr>
        <sz val="11"/>
        <color rgb="FF000000"/>
        <rFont val="Calibri, sans-serif"/>
        <charset val="134"/>
      </rPr>
      <t xml:space="preserve">
</t>
    </r>
    <r>
      <rPr>
        <b/>
        <sz val="11"/>
        <color rgb="FF980000"/>
        <rFont val="Calibri, sans-serif"/>
        <charset val="134"/>
      </rPr>
      <t>=XLOOKUP(Kolom ID Karyawan; Kolom ID Karyawan "Data Acuan";Kolom Penempatan "Data Acuan")</t>
    </r>
  </si>
  <si>
    <t>Palembang</t>
  </si>
  <si>
    <t>CHIKA YURESTA</t>
  </si>
  <si>
    <t>IP-007</t>
  </si>
  <si>
    <t>District Sales Manager</t>
  </si>
  <si>
    <t>ETHAN CHALLISTER</t>
  </si>
  <si>
    <t>IP-008</t>
  </si>
  <si>
    <t>Padang</t>
  </si>
  <si>
    <t>SONG ZUER</t>
  </si>
  <si>
    <t>IP-009</t>
  </si>
  <si>
    <t>Medan</t>
  </si>
  <si>
    <t>ZHAO YUE</t>
  </si>
  <si>
    <t>IP-010</t>
  </si>
  <si>
    <t>Surabaya</t>
  </si>
  <si>
    <t>GALAN MERDANA</t>
  </si>
  <si>
    <t>IP-011</t>
  </si>
  <si>
    <r>
      <rPr>
        <sz val="11"/>
        <color rgb="FF000000"/>
        <rFont val="Calibri, sans-serif"/>
        <charset val="134"/>
      </rPr>
      <t xml:space="preserve">Kolom </t>
    </r>
    <r>
      <rPr>
        <b/>
        <sz val="11"/>
        <color rgb="FF000000"/>
        <rFont val="Calibri, sans-serif"/>
        <charset val="134"/>
      </rPr>
      <t xml:space="preserve">WILAYAH PENEMPATAN SAAT INI </t>
    </r>
    <r>
      <rPr>
        <sz val="11"/>
        <color rgb="FF000000"/>
        <rFont val="Calibri, sans-serif"/>
        <charset val="134"/>
      </rPr>
      <t>mengacu atau mengambil data dari sheet 'Data Acuan" dengan berdasarkan pada kolom</t>
    </r>
    <r>
      <rPr>
        <b/>
        <sz val="11"/>
        <color rgb="FF000000"/>
        <rFont val="Calibri, sans-serif"/>
        <charset val="134"/>
      </rPr>
      <t xml:space="preserve"> ID KARYAWAN</t>
    </r>
    <r>
      <rPr>
        <sz val="11"/>
        <color rgb="FF000000"/>
        <rFont val="Calibri, sans-serif"/>
        <charset val="134"/>
      </rPr>
      <t xml:space="preserve"> sebagai sel referensi atau sel kunci
</t>
    </r>
    <r>
      <rPr>
        <i/>
        <sz val="11"/>
        <color rgb="FF000000"/>
        <rFont val="Calibri, sans-serif"/>
        <charset val="134"/>
      </rPr>
      <t>Rumus:</t>
    </r>
    <r>
      <rPr>
        <sz val="11"/>
        <color rgb="FF000000"/>
        <rFont val="Calibri, sans-serif"/>
        <charset val="134"/>
      </rPr>
      <t xml:space="preserve">
</t>
    </r>
    <r>
      <rPr>
        <b/>
        <sz val="11"/>
        <color rgb="FF980000"/>
        <rFont val="Calibri, sans-serif"/>
        <charset val="134"/>
      </rPr>
      <t>=XLOOKUP(Kolom ID Karyawan; Kolom ID Karyawan "Data Acuan"; Kolom Penempatan "Data Acuan";;;-1)</t>
    </r>
  </si>
  <si>
    <t>Aceh</t>
  </si>
  <si>
    <t>ZHANG YUNLONG</t>
  </si>
  <si>
    <t>IP-012</t>
  </si>
  <si>
    <t>Lampung</t>
  </si>
  <si>
    <t>LINDA SERWASTI</t>
  </si>
  <si>
    <t>IP-013</t>
  </si>
  <si>
    <t>Bogor</t>
  </si>
  <si>
    <t>CALVIN TRASMOKO</t>
  </si>
  <si>
    <t>IP-014</t>
  </si>
  <si>
    <t>-</t>
  </si>
  <si>
    <r>
      <rPr>
        <sz val="11"/>
        <color rgb="FF000000"/>
        <rFont val="Calibri, sans-serif"/>
        <charset val="134"/>
      </rPr>
      <t>[Search Mode] -1 "Mencari dari Bawah ke Atas" =</t>
    </r>
    <r>
      <rPr>
        <i/>
        <sz val="11"/>
        <color rgb="FF000000"/>
        <rFont val="Calibri, sans-serif"/>
        <charset val="134"/>
      </rPr>
      <t xml:space="preserve"> Alasan menggunakan -1 di rumus ini adalah ada beberapa data karyawan yang mengalami duplikasi (ada riwayat penempatan baru), sehingga pencarian dari bawah ke atas (-1) akan mengambil entri data yang paling akhir atau paling baru, sehingga hasil yang didapatkan adalah wilayah penempatan saat ini</t>
    </r>
  </si>
  <si>
    <t>Bekasi</t>
  </si>
  <si>
    <t>NIRA ZALINDRA</t>
  </si>
  <si>
    <t>IP-015</t>
  </si>
  <si>
    <t>DARGO MAWESTA</t>
  </si>
  <si>
    <t>IP-016</t>
  </si>
  <si>
    <r>
      <rPr>
        <sz val="10"/>
        <color theme="1"/>
        <rFont val="Arial"/>
        <charset val="134"/>
      </rPr>
      <t xml:space="preserve">Kolom </t>
    </r>
    <r>
      <rPr>
        <b/>
        <sz val="10"/>
        <color theme="1"/>
        <rFont val="Arial"/>
        <charset val="134"/>
      </rPr>
      <t>KOMISI YANG DIDAPAT</t>
    </r>
    <r>
      <rPr>
        <sz val="10"/>
        <color theme="1"/>
        <rFont val="Arial"/>
        <charset val="134"/>
      </rPr>
      <t xml:space="preserve"> mengacu atau mengambil data dari sheet "Data Acuan" dengan berdasarkan kolom </t>
    </r>
    <r>
      <rPr>
        <b/>
        <sz val="10"/>
        <color theme="1"/>
        <rFont val="Arial"/>
        <charset val="134"/>
      </rPr>
      <t xml:space="preserve">HASIL PENJUALAN </t>
    </r>
    <r>
      <rPr>
        <sz val="10"/>
        <color theme="1"/>
        <rFont val="Arial"/>
        <charset val="134"/>
      </rPr>
      <t xml:space="preserve">sebagai sel referensi atau sel kunci
</t>
    </r>
    <r>
      <rPr>
        <i/>
        <sz val="10"/>
        <color theme="1"/>
        <rFont val="Arial"/>
        <charset val="134"/>
      </rPr>
      <t>Rumus:</t>
    </r>
    <r>
      <rPr>
        <sz val="10"/>
        <color theme="1"/>
        <rFont val="Arial"/>
        <charset val="134"/>
      </rPr>
      <t xml:space="preserve">
</t>
    </r>
    <r>
      <rPr>
        <b/>
        <sz val="10"/>
        <color rgb="FF980000"/>
        <rFont val="Arial"/>
        <charset val="134"/>
      </rPr>
      <t>=XLOOKUP(Kolom Hasil Penjualan; Kolom Penjualan "Data Acuan"; Kolom Komisi yang Didapat "Data Acuan";;-1)</t>
    </r>
  </si>
  <si>
    <t>SHUN ARIS</t>
  </si>
  <si>
    <t>IP-017</t>
  </si>
  <si>
    <t>JUMIANTI</t>
  </si>
  <si>
    <t>IP-018</t>
  </si>
  <si>
    <t>XIU XIAN</t>
  </si>
  <si>
    <t>IP-019</t>
  </si>
  <si>
    <t>SEO JIWOO</t>
  </si>
  <si>
    <t>IP-020</t>
  </si>
  <si>
    <r>
      <rPr>
        <sz val="10"/>
        <color theme="1"/>
        <rFont val="Arial"/>
        <charset val="134"/>
      </rPr>
      <t xml:space="preserve">[Match Mode] -1 "Exact match or next smaller item" = </t>
    </r>
    <r>
      <rPr>
        <i/>
        <sz val="10"/>
        <color theme="1"/>
        <rFont val="Arial"/>
        <charset val="134"/>
      </rPr>
      <t>Alasan digunakannya (-1) adalah untuk mengambil persentase komisi dari tigkat penjualan tertinggi yang lebih kecil atau sama dengan jumlah penjualan. Ini untuk memastikan setiap karyawan mendapatkan komisi yang sesuai dengan kriteria yang ditetapkan, meskipun nilai penjualannya tidak secara persis di dalam tabel. Artinya, semisal penjualan karyawan tembus (Rp 9,5Jt) berarti dia belum menembus angka Rp 10Jt, maka di akan masuk ke bracket atau komisi yang sebelumnya)</t>
    </r>
  </si>
  <si>
    <t>RIN YUL</t>
  </si>
  <si>
    <t>IP-021</t>
  </si>
  <si>
    <t>LAMIANTI WULAN</t>
  </si>
  <si>
    <t>IP-022</t>
  </si>
  <si>
    <t>AERYN KAEL</t>
  </si>
  <si>
    <t>IP-023</t>
  </si>
  <si>
    <t>NO</t>
  </si>
  <si>
    <t>JENIS KELAMIN</t>
  </si>
  <si>
    <t>HASIL
PENJUALAN</t>
  </si>
  <si>
    <t>WILAYAH
PENEMPATAN</t>
  </si>
  <si>
    <t>WILAYAH PENEMPATAN
SAAT INI</t>
  </si>
  <si>
    <t>KOMISI
YANG DIDAPATKAN</t>
  </si>
  <si>
    <t>Laki-laki</t>
  </si>
  <si>
    <t>Perempuan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</si>
</sst>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7" formatCode="_(\R\p* #,##0_);_(\$* \(#,##0\);_(\$* &quot;-&quot;_);_(@_)"/>
    <numFmt numFmtId="168" formatCode="_(* #,##0_);_(* \(#,##0\);_(* &quot;-&quot;??_);_(@_)"/>
    <numFmt numFmtId="169" formatCode="0.0%"/>
  </numFmts>
  <fonts count="17">
    <font>
      <sz val="10"/>
      <color rgb="FF000000"/>
      <name val="Arial"/>
      <charset val="134"/>
      <scheme val="minor"/>
    </font>
    <font>
      <b/>
      <sz val="13"/>
      <color theme="1"/>
      <name val="Arial"/>
      <charset val="134"/>
    </font>
    <font>
      <sz val="11"/>
      <color theme="1"/>
      <name val="Arial"/>
      <charset val="134"/>
    </font>
    <font>
      <i/>
      <sz val="10"/>
      <color theme="1"/>
      <name val="Arial"/>
      <charset val="134"/>
    </font>
    <font>
      <sz val="10"/>
      <name val="Arial"/>
      <charset val="134"/>
      <scheme val="minor"/>
    </font>
    <font>
      <b/>
      <sz val="10"/>
      <color theme="0"/>
      <name val="Arial"/>
      <charset val="134"/>
    </font>
    <font>
      <b/>
      <sz val="10"/>
      <color rgb="FFFFFFFF"/>
      <name val="Arial"/>
      <charset val="134"/>
    </font>
    <font>
      <sz val="10"/>
      <color theme="1"/>
      <name val="Arial"/>
      <charset val="134"/>
    </font>
    <font>
      <sz val="11"/>
      <color theme="1"/>
      <name val="Calibri"/>
      <charset val="134"/>
    </font>
    <font>
      <b/>
      <sz val="10"/>
      <color theme="1"/>
      <name val="Arial"/>
      <charset val="134"/>
    </font>
    <font>
      <sz val="11"/>
      <color rgb="FF000000"/>
      <name val="Calibri"/>
      <charset val="134"/>
    </font>
    <font>
      <i/>
      <sz val="11"/>
      <color rgb="FF000000"/>
      <name val="Calibri"/>
      <charset val="134"/>
    </font>
    <font>
      <b/>
      <sz val="10"/>
      <color rgb="FF980000"/>
      <name val="Arial"/>
      <charset val="134"/>
    </font>
    <font>
      <sz val="11"/>
      <color rgb="FF000000"/>
      <name val="Calibri, sans-serif"/>
      <charset val="134"/>
    </font>
    <font>
      <b/>
      <sz val="11"/>
      <color rgb="FF000000"/>
      <name val="Calibri, sans-serif"/>
      <charset val="134"/>
    </font>
    <font>
      <i/>
      <sz val="11"/>
      <color rgb="FF000000"/>
      <name val="Calibri, sans-serif"/>
      <charset val="134"/>
    </font>
    <font>
      <b/>
      <sz val="11"/>
      <color rgb="FF980000"/>
      <name val="Calibri, sans-serif"/>
      <charset val="134"/>
    </font>
  </fonts>
  <fills count="6">
    <fill>
      <patternFill patternType="none"/>
    </fill>
    <fill>
      <patternFill patternType="gray125"/>
    </fill>
    <fill>
      <patternFill patternType="solid">
        <fgColor rgb="FF3D85C6"/>
        <bgColor rgb="FF3D85C6"/>
      </patternFill>
    </fill>
    <fill>
      <patternFill patternType="solid">
        <fgColor rgb="FFCFE2F3"/>
        <bgColor rgb="FFCFE2F3"/>
      </patternFill>
    </fill>
    <fill>
      <patternFill patternType="solid">
        <fgColor rgb="FFFFFF00"/>
        <bgColor rgb="FFFFFF00"/>
      </patternFill>
    </fill>
    <fill>
      <patternFill patternType="solid">
        <fgColor rgb="FFFF9900"/>
        <bgColor rgb="FFFF9900"/>
      </patternFill>
    </fill>
  </fills>
  <borders count="19">
    <border>
      <left/>
      <right/>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double">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double">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7" fillId="3" borderId="2" xfId="0" applyFont="1" applyFill="1" applyBorder="1" applyAlignment="1">
      <alignment horizontal="center"/>
    </xf>
    <xf numFmtId="0" fontId="7" fillId="0" borderId="2" xfId="0" applyFont="1" applyBorder="1"/>
    <xf numFmtId="0" fontId="7" fillId="3" borderId="2" xfId="0" applyFont="1" applyFill="1" applyBorder="1"/>
    <xf numFmtId="167" fontId="6" fillId="2" borderId="2" xfId="0" applyNumberFormat="1" applyFont="1" applyFill="1" applyBorder="1" applyAlignment="1">
      <alignment horizontal="center" vertical="center"/>
    </xf>
    <xf numFmtId="167" fontId="7" fillId="3" borderId="2" xfId="0" applyNumberFormat="1" applyFont="1" applyFill="1" applyBorder="1"/>
    <xf numFmtId="168" fontId="8" fillId="0" borderId="0" xfId="0" applyNumberFormat="1" applyFont="1" applyAlignment="1">
      <alignment horizontal="right"/>
    </xf>
    <xf numFmtId="169" fontId="7" fillId="0" borderId="2" xfId="0" applyNumberFormat="1" applyFont="1" applyBorder="1"/>
    <xf numFmtId="169" fontId="8" fillId="0" borderId="0" xfId="0" applyNumberFormat="1" applyFont="1" applyAlignment="1">
      <alignment horizontal="right"/>
    </xf>
    <xf numFmtId="10" fontId="7" fillId="0" borderId="0" xfId="0" applyNumberFormat="1" applyFont="1"/>
    <xf numFmtId="0" fontId="7" fillId="0" borderId="5" xfId="0" applyFont="1" applyBorder="1"/>
    <xf numFmtId="0" fontId="9" fillId="4" borderId="2" xfId="0" applyFont="1" applyFill="1" applyBorder="1" applyAlignment="1">
      <alignment horizontal="center"/>
    </xf>
    <xf numFmtId="0" fontId="7" fillId="0" borderId="2" xfId="0" applyFont="1" applyBorder="1" applyAlignment="1">
      <alignment horizontal="center"/>
    </xf>
    <xf numFmtId="0" fontId="7" fillId="0" borderId="7" xfId="0" applyFont="1" applyBorder="1"/>
    <xf numFmtId="0" fontId="7" fillId="0" borderId="8" xfId="0" applyFont="1" applyBorder="1"/>
    <xf numFmtId="0" fontId="7" fillId="0" borderId="10" xfId="0" applyFont="1" applyBorder="1"/>
    <xf numFmtId="169" fontId="8" fillId="0" borderId="2" xfId="0" applyNumberFormat="1" applyFont="1" applyBorder="1" applyAlignment="1">
      <alignment horizontal="right"/>
    </xf>
    <xf numFmtId="167" fontId="8" fillId="0" borderId="2" xfId="0" applyNumberFormat="1" applyFont="1" applyBorder="1" applyAlignment="1">
      <alignment horizontal="right"/>
    </xf>
    <xf numFmtId="0" fontId="7" fillId="0" borderId="12" xfId="0" applyFont="1" applyBorder="1"/>
    <xf numFmtId="0" fontId="7" fillId="0" borderId="2" xfId="0" applyFont="1" applyBorder="1" applyAlignment="1">
      <alignment horizontal="center" vertical="center"/>
    </xf>
    <xf numFmtId="0" fontId="1" fillId="0" borderId="0" xfId="0" applyFont="1" applyAlignment="1">
      <alignment horizontal="center"/>
    </xf>
    <xf numFmtId="0" fontId="0" fillId="0" borderId="0" xfId="0"/>
    <xf numFmtId="0" fontId="2" fillId="0" borderId="0" xfId="0" applyFont="1" applyAlignment="1">
      <alignment horizontal="center"/>
    </xf>
    <xf numFmtId="0" fontId="3" fillId="0" borderId="1" xfId="0" applyFont="1" applyBorder="1" applyAlignment="1">
      <alignment horizontal="center"/>
    </xf>
    <xf numFmtId="0" fontId="4" fillId="0" borderId="1" xfId="0" applyFont="1" applyBorder="1"/>
    <xf numFmtId="0" fontId="1" fillId="0" borderId="3" xfId="0" applyFont="1" applyBorder="1" applyAlignment="1">
      <alignment horizontal="center"/>
    </xf>
    <xf numFmtId="0" fontId="4" fillId="0" borderId="4" xfId="0" applyFont="1" applyBorder="1"/>
    <xf numFmtId="0" fontId="4" fillId="0" borderId="9" xfId="0" applyFont="1" applyBorder="1"/>
    <xf numFmtId="0" fontId="9" fillId="5" borderId="13" xfId="0" applyFont="1" applyFill="1" applyBorder="1" applyAlignment="1">
      <alignment horizontal="center" vertical="center"/>
    </xf>
    <xf numFmtId="0" fontId="4" fillId="0" borderId="14" xfId="0" applyFont="1" applyBorder="1"/>
    <xf numFmtId="0" fontId="4" fillId="0" borderId="18" xfId="0" applyFont="1" applyBorder="1"/>
    <xf numFmtId="0" fontId="2" fillId="0" borderId="5" xfId="0" applyFont="1" applyBorder="1" applyAlignment="1">
      <alignment horizontal="center"/>
    </xf>
    <xf numFmtId="0" fontId="4" fillId="0" borderId="10" xfId="0" applyFont="1" applyBorder="1"/>
    <xf numFmtId="0" fontId="7" fillId="0" borderId="13" xfId="0" applyFont="1" applyBorder="1" applyAlignment="1">
      <alignment vertical="center"/>
    </xf>
    <xf numFmtId="0" fontId="3" fillId="0" borderId="6" xfId="0" applyFont="1" applyBorder="1" applyAlignment="1">
      <alignment horizontal="center"/>
    </xf>
    <xf numFmtId="0" fontId="4" fillId="0" borderId="11" xfId="0" applyFont="1" applyBorder="1"/>
    <xf numFmtId="0" fontId="7" fillId="0" borderId="15" xfId="0" applyFont="1" applyBorder="1" applyAlignment="1">
      <alignment horizontal="center" vertical="center"/>
    </xf>
    <xf numFmtId="0" fontId="4" fillId="0" borderId="16" xfId="0" applyFont="1" applyBorder="1"/>
    <xf numFmtId="0" fontId="4" fillId="0" borderId="17" xfId="0" applyFont="1" applyBorder="1"/>
    <xf numFmtId="0" fontId="10" fillId="0" borderId="15" xfId="0" applyFont="1" applyBorder="1" applyAlignment="1">
      <alignment horizontal="center" vertical="center"/>
    </xf>
    <xf numFmtId="0" fontId="7" fillId="0" borderId="3" xfId="0" applyFont="1" applyBorder="1" applyAlignment="1">
      <alignment horizontal="left" vertical="top" wrapText="1"/>
    </xf>
    <xf numFmtId="0" fontId="4" fillId="0" borderId="5" xfId="0" applyFont="1" applyBorder="1"/>
    <xf numFmtId="0" fontId="4" fillId="0" borderId="7" xfId="0" applyFont="1" applyBorder="1"/>
    <xf numFmtId="0" fontId="4" fillId="0" borderId="8" xfId="0" applyFont="1" applyBorder="1"/>
    <xf numFmtId="0" fontId="4" fillId="0" borderId="12" xfId="0" applyFont="1" applyBorder="1"/>
    <xf numFmtId="0" fontId="7" fillId="0" borderId="3" xfId="0" applyFont="1" applyBorder="1" applyAlignment="1">
      <alignment vertical="top" wrapText="1"/>
    </xf>
    <xf numFmtId="0" fontId="7" fillId="0" borderId="3" xfId="0" applyFont="1" applyBorder="1" applyAlignment="1">
      <alignment vertical="center" wrapText="1"/>
    </xf>
    <xf numFmtId="0" fontId="10" fillId="0" borderId="3" xfId="0" applyFont="1" applyBorder="1" applyAlignment="1">
      <alignment horizontal="left" vertical="top" wrapText="1"/>
    </xf>
    <xf numFmtId="0" fontId="10" fillId="0" borderId="3" xfId="0" applyFont="1" applyBorder="1" applyAlignment="1">
      <alignment vertical="top" wrapText="1"/>
    </xf>
    <xf numFmtId="0" fontId="11" fillId="0" borderId="3" xfId="0" applyFont="1" applyBorder="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www.wps.cn/officeDocument/2021/sharedlinks" Target="NUL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0"/>
  <sheetViews>
    <sheetView showGridLines="0" tabSelected="1" topLeftCell="C12" workbookViewId="0">
      <selection activeCell="F7" sqref="F7"/>
    </sheetView>
  </sheetViews>
  <sheetFormatPr defaultColWidth="12.6640625" defaultRowHeight="15" customHeight="1"/>
  <cols>
    <col min="1" max="1" width="13.33203125" customWidth="1"/>
    <col min="2" max="2" width="30.109375" customWidth="1"/>
    <col min="3" max="3" width="25.77734375" customWidth="1"/>
    <col min="4" max="4" width="17.33203125" customWidth="1"/>
    <col min="5" max="5" width="13.77734375" customWidth="1"/>
    <col min="6" max="6" width="12.6640625" customWidth="1"/>
    <col min="7" max="7" width="19.6640625" customWidth="1"/>
    <col min="8" max="8" width="16.6640625" customWidth="1"/>
    <col min="9" max="9" width="7" customWidth="1"/>
    <col min="10" max="10" width="4.88671875" customWidth="1"/>
    <col min="11" max="11" width="3.77734375" customWidth="1"/>
    <col min="16" max="16" width="22" customWidth="1"/>
  </cols>
  <sheetData>
    <row r="1" spans="1:16" ht="15.75" customHeight="1">
      <c r="A1" s="30" t="s">
        <v>0</v>
      </c>
      <c r="B1" s="31"/>
      <c r="C1" s="31"/>
      <c r="D1" s="31"/>
      <c r="E1" s="31"/>
      <c r="F1" s="31"/>
      <c r="G1" s="31"/>
      <c r="H1" s="32"/>
      <c r="I1" s="1"/>
      <c r="J1" s="33" t="s">
        <v>1</v>
      </c>
      <c r="K1" s="34"/>
      <c r="L1" s="34"/>
      <c r="M1" s="34"/>
      <c r="N1" s="34"/>
      <c r="O1" s="34"/>
      <c r="P1" s="35"/>
    </row>
    <row r="2" spans="1:16" ht="15.75" customHeight="1">
      <c r="A2" s="36" t="s">
        <v>2</v>
      </c>
      <c r="B2" s="26"/>
      <c r="C2" s="26"/>
      <c r="D2" s="26"/>
      <c r="E2" s="26"/>
      <c r="F2" s="26"/>
      <c r="G2" s="26"/>
      <c r="H2" s="37"/>
      <c r="I2" s="2"/>
      <c r="J2" s="24" t="s">
        <v>3</v>
      </c>
      <c r="K2" s="38" t="s">
        <v>4</v>
      </c>
      <c r="L2" s="34"/>
      <c r="M2" s="34"/>
      <c r="N2" s="34"/>
      <c r="O2" s="34"/>
      <c r="P2" s="35"/>
    </row>
    <row r="3" spans="1:16" ht="15.75" customHeight="1">
      <c r="A3" s="39" t="s">
        <v>5</v>
      </c>
      <c r="B3" s="29"/>
      <c r="C3" s="29"/>
      <c r="D3" s="29"/>
      <c r="E3" s="29"/>
      <c r="F3" s="29"/>
      <c r="G3" s="29"/>
      <c r="H3" s="40"/>
      <c r="I3" s="3"/>
      <c r="J3" s="41">
        <v>1</v>
      </c>
      <c r="K3" s="45" t="s">
        <v>6</v>
      </c>
      <c r="L3" s="31"/>
      <c r="M3" s="31"/>
      <c r="N3" s="31"/>
      <c r="O3" s="31"/>
      <c r="P3" s="32"/>
    </row>
    <row r="4" spans="1:16" ht="15.75" customHeight="1">
      <c r="A4" s="15"/>
      <c r="H4" s="20"/>
      <c r="J4" s="42"/>
      <c r="K4" s="46"/>
      <c r="L4" s="26"/>
      <c r="M4" s="26"/>
      <c r="N4" s="26"/>
      <c r="O4" s="26"/>
      <c r="P4" s="37"/>
    </row>
    <row r="5" spans="1:16" ht="15.75" customHeight="1">
      <c r="A5" s="16" t="s">
        <v>7</v>
      </c>
      <c r="B5" s="16" t="s">
        <v>8</v>
      </c>
      <c r="C5" s="16" t="s">
        <v>9</v>
      </c>
      <c r="D5" s="16" t="s">
        <v>10</v>
      </c>
      <c r="E5" s="16" t="s">
        <v>11</v>
      </c>
      <c r="G5" s="16" t="s">
        <v>12</v>
      </c>
      <c r="H5" s="16" t="s">
        <v>13</v>
      </c>
      <c r="J5" s="42"/>
      <c r="K5" s="46"/>
      <c r="L5" s="26"/>
      <c r="M5" s="26"/>
      <c r="N5" s="26"/>
      <c r="O5" s="26"/>
      <c r="P5" s="37"/>
    </row>
    <row r="6" spans="1:16" ht="15.75" customHeight="1">
      <c r="A6" s="17">
        <v>2020</v>
      </c>
      <c r="B6" s="7" t="s">
        <v>14</v>
      </c>
      <c r="C6" s="7" t="s">
        <v>15</v>
      </c>
      <c r="D6" s="7" t="s">
        <v>16</v>
      </c>
      <c r="E6" s="17" t="s">
        <v>17</v>
      </c>
      <c r="G6" s="21">
        <v>1E-3</v>
      </c>
      <c r="H6" s="22">
        <v>1000000</v>
      </c>
      <c r="J6" s="43"/>
      <c r="K6" s="47"/>
      <c r="L6" s="48"/>
      <c r="M6" s="48"/>
      <c r="N6" s="48"/>
      <c r="O6" s="48"/>
      <c r="P6" s="49"/>
    </row>
    <row r="7" spans="1:16" ht="15.75" customHeight="1">
      <c r="A7" s="17">
        <v>2020</v>
      </c>
      <c r="B7" s="7" t="s">
        <v>18</v>
      </c>
      <c r="C7" s="7" t="s">
        <v>19</v>
      </c>
      <c r="D7" s="7" t="s">
        <v>20</v>
      </c>
      <c r="E7" s="17" t="s">
        <v>21</v>
      </c>
      <c r="G7" s="21">
        <v>5.0000000000000001E-3</v>
      </c>
      <c r="H7" s="22">
        <v>40000000</v>
      </c>
      <c r="J7" s="44">
        <v>2</v>
      </c>
      <c r="K7" s="52" t="s">
        <v>22</v>
      </c>
      <c r="L7" s="31"/>
      <c r="M7" s="31"/>
      <c r="N7" s="31"/>
      <c r="O7" s="31"/>
      <c r="P7" s="32"/>
    </row>
    <row r="8" spans="1:16" ht="15.75" customHeight="1">
      <c r="A8" s="17">
        <v>2020</v>
      </c>
      <c r="B8" s="7" t="s">
        <v>23</v>
      </c>
      <c r="C8" s="7" t="s">
        <v>19</v>
      </c>
      <c r="D8" s="7" t="s">
        <v>24</v>
      </c>
      <c r="E8" s="17" t="s">
        <v>25</v>
      </c>
      <c r="G8" s="21">
        <v>3.0000000000000001E-3</v>
      </c>
      <c r="H8" s="22">
        <v>20000000</v>
      </c>
      <c r="J8" s="42"/>
      <c r="K8" s="46"/>
      <c r="L8" s="26"/>
      <c r="M8" s="26"/>
      <c r="N8" s="26"/>
      <c r="O8" s="26"/>
      <c r="P8" s="37"/>
    </row>
    <row r="9" spans="1:16" ht="15.75" customHeight="1">
      <c r="A9" s="17">
        <v>2020</v>
      </c>
      <c r="B9" s="7" t="s">
        <v>26</v>
      </c>
      <c r="C9" s="7" t="s">
        <v>19</v>
      </c>
      <c r="D9" s="7" t="s">
        <v>27</v>
      </c>
      <c r="E9" s="17" t="s">
        <v>28</v>
      </c>
      <c r="G9" s="21">
        <v>4.0000000000000001E-3</v>
      </c>
      <c r="H9" s="22">
        <v>30000000</v>
      </c>
      <c r="J9" s="42"/>
      <c r="K9" s="46"/>
      <c r="L9" s="26"/>
      <c r="M9" s="26"/>
      <c r="N9" s="26"/>
      <c r="O9" s="26"/>
      <c r="P9" s="37"/>
    </row>
    <row r="10" spans="1:16" ht="15.75" customHeight="1">
      <c r="A10" s="17">
        <v>2020</v>
      </c>
      <c r="B10" s="7" t="s">
        <v>29</v>
      </c>
      <c r="C10" s="7" t="s">
        <v>30</v>
      </c>
      <c r="D10" s="7" t="s">
        <v>31</v>
      </c>
      <c r="E10" s="17" t="s">
        <v>32</v>
      </c>
      <c r="G10" s="21">
        <v>2E-3</v>
      </c>
      <c r="H10" s="22">
        <v>10000000</v>
      </c>
      <c r="J10" s="43"/>
      <c r="K10" s="47"/>
      <c r="L10" s="48"/>
      <c r="M10" s="48"/>
      <c r="N10" s="48"/>
      <c r="O10" s="48"/>
      <c r="P10" s="49"/>
    </row>
    <row r="11" spans="1:16" ht="15.75" customHeight="1">
      <c r="A11" s="17">
        <v>2020</v>
      </c>
      <c r="B11" s="7" t="s">
        <v>33</v>
      </c>
      <c r="C11" s="7" t="s">
        <v>19</v>
      </c>
      <c r="D11" s="7" t="s">
        <v>34</v>
      </c>
      <c r="E11" s="17" t="s">
        <v>35</v>
      </c>
      <c r="H11" s="20"/>
      <c r="J11" s="44">
        <v>3</v>
      </c>
      <c r="K11" s="53" t="s">
        <v>36</v>
      </c>
      <c r="L11" s="31"/>
      <c r="M11" s="31"/>
      <c r="N11" s="31"/>
      <c r="O11" s="31"/>
      <c r="P11" s="32"/>
    </row>
    <row r="12" spans="1:16" ht="15.75" customHeight="1">
      <c r="A12" s="17">
        <v>2020</v>
      </c>
      <c r="B12" s="7" t="s">
        <v>37</v>
      </c>
      <c r="C12" s="7" t="s">
        <v>19</v>
      </c>
      <c r="D12" s="7" t="s">
        <v>38</v>
      </c>
      <c r="E12" s="17" t="s">
        <v>39</v>
      </c>
      <c r="H12" s="20"/>
      <c r="J12" s="42"/>
      <c r="K12" s="46"/>
      <c r="L12" s="26"/>
      <c r="M12" s="26"/>
      <c r="N12" s="26"/>
      <c r="O12" s="26"/>
      <c r="P12" s="37"/>
    </row>
    <row r="13" spans="1:16" ht="15.75" customHeight="1">
      <c r="A13" s="17">
        <v>2023</v>
      </c>
      <c r="B13" s="7" t="s">
        <v>14</v>
      </c>
      <c r="C13" s="7" t="s">
        <v>40</v>
      </c>
      <c r="D13" s="7" t="s">
        <v>41</v>
      </c>
      <c r="E13" s="17" t="s">
        <v>42</v>
      </c>
      <c r="H13" s="20"/>
      <c r="J13" s="42"/>
      <c r="K13" s="46"/>
      <c r="L13" s="26"/>
      <c r="M13" s="26"/>
      <c r="N13" s="26"/>
      <c r="O13" s="26"/>
      <c r="P13" s="37"/>
    </row>
    <row r="14" spans="1:16" ht="15.75" customHeight="1">
      <c r="A14" s="17">
        <v>2023</v>
      </c>
      <c r="B14" s="7" t="s">
        <v>43</v>
      </c>
      <c r="C14" s="7" t="s">
        <v>19</v>
      </c>
      <c r="D14" s="7" t="s">
        <v>44</v>
      </c>
      <c r="E14" s="17" t="s">
        <v>45</v>
      </c>
      <c r="H14" s="20"/>
      <c r="J14" s="42"/>
      <c r="K14" s="46"/>
      <c r="L14" s="26"/>
      <c r="M14" s="26"/>
      <c r="N14" s="26"/>
      <c r="O14" s="26"/>
      <c r="P14" s="37"/>
    </row>
    <row r="15" spans="1:16" ht="15.75" customHeight="1">
      <c r="A15" s="17">
        <v>2023</v>
      </c>
      <c r="B15" s="7" t="s">
        <v>46</v>
      </c>
      <c r="C15" s="7" t="s">
        <v>15</v>
      </c>
      <c r="D15" s="7" t="s">
        <v>47</v>
      </c>
      <c r="E15" s="17" t="s">
        <v>48</v>
      </c>
      <c r="H15" s="20"/>
      <c r="J15" s="43"/>
      <c r="K15" s="47"/>
      <c r="L15" s="48"/>
      <c r="M15" s="48"/>
      <c r="N15" s="48"/>
      <c r="O15" s="48"/>
      <c r="P15" s="49"/>
    </row>
    <row r="16" spans="1:16" ht="15.75" customHeight="1">
      <c r="A16" s="17">
        <v>2023</v>
      </c>
      <c r="B16" s="7" t="s">
        <v>49</v>
      </c>
      <c r="C16" s="7" t="s">
        <v>40</v>
      </c>
      <c r="D16" s="7" t="s">
        <v>50</v>
      </c>
      <c r="E16" s="17" t="s">
        <v>51</v>
      </c>
      <c r="H16" s="20"/>
      <c r="J16" s="44">
        <v>4</v>
      </c>
      <c r="K16" s="53" t="s">
        <v>52</v>
      </c>
      <c r="L16" s="31"/>
      <c r="M16" s="31"/>
      <c r="N16" s="31"/>
      <c r="O16" s="31"/>
      <c r="P16" s="32"/>
    </row>
    <row r="17" spans="1:16" ht="15.75" customHeight="1">
      <c r="A17" s="17">
        <v>2023</v>
      </c>
      <c r="B17" s="7" t="s">
        <v>23</v>
      </c>
      <c r="C17" s="7" t="s">
        <v>19</v>
      </c>
      <c r="D17" s="7" t="s">
        <v>20</v>
      </c>
      <c r="E17" s="17" t="s">
        <v>21</v>
      </c>
      <c r="H17" s="20"/>
      <c r="J17" s="42"/>
      <c r="K17" s="46"/>
      <c r="L17" s="26"/>
      <c r="M17" s="26"/>
      <c r="N17" s="26"/>
      <c r="O17" s="26"/>
      <c r="P17" s="37"/>
    </row>
    <row r="18" spans="1:16" ht="15.75" customHeight="1">
      <c r="A18" s="17">
        <v>2023</v>
      </c>
      <c r="B18" s="7" t="s">
        <v>53</v>
      </c>
      <c r="C18" s="7" t="s">
        <v>15</v>
      </c>
      <c r="D18" s="7" t="s">
        <v>54</v>
      </c>
      <c r="E18" s="17" t="s">
        <v>55</v>
      </c>
      <c r="H18" s="20"/>
      <c r="J18" s="42"/>
      <c r="K18" s="46"/>
      <c r="L18" s="26"/>
      <c r="M18" s="26"/>
      <c r="N18" s="26"/>
      <c r="O18" s="26"/>
      <c r="P18" s="37"/>
    </row>
    <row r="19" spans="1:16" ht="15.75" customHeight="1">
      <c r="A19" s="17">
        <v>2023</v>
      </c>
      <c r="B19" s="7" t="s">
        <v>26</v>
      </c>
      <c r="C19" s="7" t="s">
        <v>15</v>
      </c>
      <c r="D19" s="7" t="s">
        <v>16</v>
      </c>
      <c r="E19" s="17" t="s">
        <v>17</v>
      </c>
      <c r="H19" s="20"/>
      <c r="J19" s="42"/>
      <c r="K19" s="46"/>
      <c r="L19" s="26"/>
      <c r="M19" s="26"/>
      <c r="N19" s="26"/>
      <c r="O19" s="26"/>
      <c r="P19" s="37"/>
    </row>
    <row r="20" spans="1:16" ht="15.75" customHeight="1">
      <c r="A20" s="17">
        <v>2023</v>
      </c>
      <c r="B20" s="7" t="s">
        <v>56</v>
      </c>
      <c r="C20" s="7" t="s">
        <v>19</v>
      </c>
      <c r="D20" s="7" t="s">
        <v>57</v>
      </c>
      <c r="E20" s="17" t="s">
        <v>58</v>
      </c>
      <c r="H20" s="20"/>
      <c r="J20" s="42"/>
      <c r="K20" s="47"/>
      <c r="L20" s="48"/>
      <c r="M20" s="48"/>
      <c r="N20" s="48"/>
      <c r="O20" s="48"/>
      <c r="P20" s="49"/>
    </row>
    <row r="21" spans="1:16" ht="15.75" customHeight="1">
      <c r="A21" s="17">
        <v>2023</v>
      </c>
      <c r="B21" s="7" t="s">
        <v>59</v>
      </c>
      <c r="C21" s="7" t="s">
        <v>19</v>
      </c>
      <c r="D21" s="7" t="s">
        <v>60</v>
      </c>
      <c r="E21" s="17" t="s">
        <v>61</v>
      </c>
      <c r="H21" s="20"/>
      <c r="J21" s="42"/>
      <c r="K21" s="44" t="s">
        <v>62</v>
      </c>
      <c r="L21" s="54" t="s">
        <v>63</v>
      </c>
      <c r="M21" s="31"/>
      <c r="N21" s="31"/>
      <c r="O21" s="31"/>
      <c r="P21" s="32"/>
    </row>
    <row r="22" spans="1:16" ht="15.75" customHeight="1">
      <c r="A22" s="17">
        <v>2025</v>
      </c>
      <c r="B22" s="7" t="s">
        <v>64</v>
      </c>
      <c r="C22" s="7" t="s">
        <v>19</v>
      </c>
      <c r="D22" s="7" t="s">
        <v>65</v>
      </c>
      <c r="E22" s="17" t="s">
        <v>66</v>
      </c>
      <c r="H22" s="20"/>
      <c r="J22" s="42"/>
      <c r="K22" s="42"/>
      <c r="L22" s="46"/>
      <c r="M22" s="26"/>
      <c r="N22" s="26"/>
      <c r="O22" s="26"/>
      <c r="P22" s="37"/>
    </row>
    <row r="23" spans="1:16" ht="15.75" customHeight="1">
      <c r="A23" s="17">
        <v>2025</v>
      </c>
      <c r="B23" s="7" t="s">
        <v>14</v>
      </c>
      <c r="C23" s="7" t="s">
        <v>40</v>
      </c>
      <c r="D23" s="7" t="s">
        <v>67</v>
      </c>
      <c r="E23" s="17" t="s">
        <v>68</v>
      </c>
      <c r="H23" s="20"/>
      <c r="J23" s="42"/>
      <c r="K23" s="42"/>
      <c r="L23" s="46"/>
      <c r="M23" s="26"/>
      <c r="N23" s="26"/>
      <c r="O23" s="26"/>
      <c r="P23" s="37"/>
    </row>
    <row r="24" spans="1:16" ht="15.75" customHeight="1">
      <c r="A24" s="17">
        <v>2025</v>
      </c>
      <c r="B24" s="7" t="s">
        <v>18</v>
      </c>
      <c r="C24" s="7" t="s">
        <v>19</v>
      </c>
      <c r="D24" s="7" t="s">
        <v>27</v>
      </c>
      <c r="E24" s="17" t="s">
        <v>28</v>
      </c>
      <c r="H24" s="20"/>
      <c r="J24" s="43"/>
      <c r="K24" s="43"/>
      <c r="L24" s="47"/>
      <c r="M24" s="48"/>
      <c r="N24" s="48"/>
      <c r="O24" s="48"/>
      <c r="P24" s="49"/>
    </row>
    <row r="25" spans="1:16" ht="15.75" customHeight="1">
      <c r="A25" s="17">
        <v>2025</v>
      </c>
      <c r="B25" s="7" t="s">
        <v>23</v>
      </c>
      <c r="C25" s="7" t="s">
        <v>30</v>
      </c>
      <c r="D25" s="7" t="s">
        <v>31</v>
      </c>
      <c r="E25" s="17" t="s">
        <v>32</v>
      </c>
      <c r="H25" s="20"/>
      <c r="J25" s="41">
        <v>5</v>
      </c>
      <c r="K25" s="50" t="s">
        <v>69</v>
      </c>
      <c r="L25" s="31"/>
      <c r="M25" s="31"/>
      <c r="N25" s="31"/>
      <c r="O25" s="31"/>
      <c r="P25" s="32"/>
    </row>
    <row r="26" spans="1:16" ht="15.75" customHeight="1">
      <c r="A26" s="17">
        <v>2025</v>
      </c>
      <c r="B26" s="7" t="s">
        <v>33</v>
      </c>
      <c r="C26" s="7" t="s">
        <v>19</v>
      </c>
      <c r="D26" s="7" t="s">
        <v>70</v>
      </c>
      <c r="E26" s="17" t="s">
        <v>71</v>
      </c>
      <c r="H26" s="20"/>
      <c r="J26" s="42"/>
      <c r="K26" s="46"/>
      <c r="L26" s="26"/>
      <c r="M26" s="26"/>
      <c r="N26" s="26"/>
      <c r="O26" s="26"/>
      <c r="P26" s="37"/>
    </row>
    <row r="27" spans="1:16" ht="15.75" customHeight="1">
      <c r="A27" s="17">
        <v>2025</v>
      </c>
      <c r="B27" s="7" t="s">
        <v>46</v>
      </c>
      <c r="C27" s="7" t="s">
        <v>19</v>
      </c>
      <c r="D27" s="7" t="s">
        <v>72</v>
      </c>
      <c r="E27" s="17" t="s">
        <v>73</v>
      </c>
      <c r="H27" s="20"/>
      <c r="J27" s="42"/>
      <c r="K27" s="46"/>
      <c r="L27" s="26"/>
      <c r="M27" s="26"/>
      <c r="N27" s="26"/>
      <c r="O27" s="26"/>
      <c r="P27" s="37"/>
    </row>
    <row r="28" spans="1:16" ht="15.75" customHeight="1">
      <c r="A28" s="17">
        <v>2025</v>
      </c>
      <c r="B28" s="7" t="s">
        <v>14</v>
      </c>
      <c r="C28" s="7" t="s">
        <v>19</v>
      </c>
      <c r="D28" s="7" t="s">
        <v>74</v>
      </c>
      <c r="E28" s="17" t="s">
        <v>75</v>
      </c>
      <c r="H28" s="20"/>
      <c r="J28" s="42"/>
      <c r="K28" s="46"/>
      <c r="L28" s="26"/>
      <c r="M28" s="26"/>
      <c r="N28" s="26"/>
      <c r="O28" s="26"/>
      <c r="P28" s="37"/>
    </row>
    <row r="29" spans="1:16" ht="15.75" customHeight="1">
      <c r="A29" s="17">
        <v>2025</v>
      </c>
      <c r="B29" s="7" t="s">
        <v>29</v>
      </c>
      <c r="C29" s="7" t="s">
        <v>30</v>
      </c>
      <c r="D29" s="7" t="s">
        <v>76</v>
      </c>
      <c r="E29" s="17" t="s">
        <v>77</v>
      </c>
      <c r="H29" s="20"/>
      <c r="J29" s="42"/>
      <c r="K29" s="47"/>
      <c r="L29" s="48"/>
      <c r="M29" s="48"/>
      <c r="N29" s="48"/>
      <c r="O29" s="48"/>
      <c r="P29" s="49"/>
    </row>
    <row r="30" spans="1:16" ht="15.75" customHeight="1">
      <c r="A30" s="17">
        <v>2025</v>
      </c>
      <c r="B30" s="7" t="s">
        <v>29</v>
      </c>
      <c r="C30" s="7" t="s">
        <v>19</v>
      </c>
      <c r="D30" s="7" t="s">
        <v>20</v>
      </c>
      <c r="E30" s="17" t="s">
        <v>21</v>
      </c>
      <c r="H30" s="20"/>
      <c r="J30" s="42"/>
      <c r="K30" s="41" t="s">
        <v>62</v>
      </c>
      <c r="L30" s="51" t="s">
        <v>78</v>
      </c>
      <c r="M30" s="31"/>
      <c r="N30" s="31"/>
      <c r="O30" s="31"/>
      <c r="P30" s="32"/>
    </row>
    <row r="31" spans="1:16" ht="15.75" customHeight="1">
      <c r="A31" s="17">
        <v>2025</v>
      </c>
      <c r="B31" s="7" t="s">
        <v>18</v>
      </c>
      <c r="C31" s="7" t="s">
        <v>19</v>
      </c>
      <c r="D31" s="7" t="s">
        <v>24</v>
      </c>
      <c r="E31" s="17" t="s">
        <v>25</v>
      </c>
      <c r="H31" s="20"/>
      <c r="J31" s="42"/>
      <c r="K31" s="42"/>
      <c r="L31" s="46"/>
      <c r="M31" s="26"/>
      <c r="N31" s="26"/>
      <c r="O31" s="26"/>
      <c r="P31" s="37"/>
    </row>
    <row r="32" spans="1:16" ht="15.75" customHeight="1">
      <c r="A32" s="17">
        <v>2025</v>
      </c>
      <c r="B32" s="7" t="s">
        <v>37</v>
      </c>
      <c r="C32" s="7" t="s">
        <v>15</v>
      </c>
      <c r="D32" s="7" t="s">
        <v>79</v>
      </c>
      <c r="E32" s="17" t="s">
        <v>80</v>
      </c>
      <c r="H32" s="20"/>
      <c r="J32" s="42"/>
      <c r="K32" s="42"/>
      <c r="L32" s="46"/>
      <c r="M32" s="26"/>
      <c r="N32" s="26"/>
      <c r="O32" s="26"/>
      <c r="P32" s="37"/>
    </row>
    <row r="33" spans="1:16" ht="15.75" customHeight="1">
      <c r="A33" s="17">
        <v>2025</v>
      </c>
      <c r="B33" s="7" t="s">
        <v>49</v>
      </c>
      <c r="C33" s="7" t="s">
        <v>19</v>
      </c>
      <c r="D33" s="7" t="s">
        <v>81</v>
      </c>
      <c r="E33" s="17" t="s">
        <v>82</v>
      </c>
      <c r="H33" s="20"/>
      <c r="J33" s="42"/>
      <c r="K33" s="42"/>
      <c r="L33" s="46"/>
      <c r="M33" s="26"/>
      <c r="N33" s="26"/>
      <c r="O33" s="26"/>
      <c r="P33" s="37"/>
    </row>
    <row r="34" spans="1:16" ht="15.75" customHeight="1">
      <c r="A34" s="17">
        <v>2025</v>
      </c>
      <c r="B34" s="7" t="s">
        <v>18</v>
      </c>
      <c r="C34" s="7" t="s">
        <v>30</v>
      </c>
      <c r="D34" s="7" t="s">
        <v>31</v>
      </c>
      <c r="E34" s="17" t="s">
        <v>32</v>
      </c>
      <c r="H34" s="20"/>
      <c r="J34" s="42"/>
      <c r="K34" s="42"/>
      <c r="L34" s="46"/>
      <c r="M34" s="26"/>
      <c r="N34" s="26"/>
      <c r="O34" s="26"/>
      <c r="P34" s="37"/>
    </row>
    <row r="35" spans="1:16" ht="15.75" customHeight="1">
      <c r="A35" s="17">
        <v>2025</v>
      </c>
      <c r="B35" s="7" t="s">
        <v>26</v>
      </c>
      <c r="C35" s="7" t="s">
        <v>15</v>
      </c>
      <c r="D35" s="7" t="s">
        <v>83</v>
      </c>
      <c r="E35" s="17" t="s">
        <v>84</v>
      </c>
      <c r="H35" s="20"/>
      <c r="J35" s="43"/>
      <c r="K35" s="43"/>
      <c r="L35" s="47"/>
      <c r="M35" s="48"/>
      <c r="N35" s="48"/>
      <c r="O35" s="48"/>
      <c r="P35" s="49"/>
    </row>
    <row r="36" spans="1:16" ht="15.75" customHeight="1">
      <c r="A36" s="18"/>
      <c r="B36" s="19"/>
      <c r="C36" s="19"/>
      <c r="D36" s="19"/>
      <c r="E36" s="19"/>
      <c r="F36" s="19"/>
      <c r="G36" s="19"/>
      <c r="H36" s="23"/>
    </row>
    <row r="37" spans="1:16" ht="15.75" customHeight="1"/>
    <row r="38" spans="1:16" ht="15.75" customHeight="1"/>
    <row r="39" spans="1:16" ht="15.75" customHeight="1"/>
    <row r="40" spans="1:16" ht="15.75" customHeight="1"/>
    <row r="41" spans="1:16" ht="15.75" customHeight="1"/>
    <row r="42" spans="1:16" ht="15.75" customHeight="1"/>
    <row r="43" spans="1:16" ht="15.75" customHeight="1"/>
    <row r="44" spans="1:16" ht="15.75" customHeight="1"/>
    <row r="45" spans="1:16" ht="15.75" customHeight="1"/>
    <row r="46" spans="1:16" ht="15.75" customHeight="1"/>
    <row r="47" spans="1:16" ht="15.75" customHeight="1"/>
    <row r="48" spans="1: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J7:J10"/>
    <mergeCell ref="J11:J15"/>
    <mergeCell ref="J16:J24"/>
    <mergeCell ref="J25:J35"/>
    <mergeCell ref="K21:K24"/>
    <mergeCell ref="K30:K35"/>
    <mergeCell ref="K25:P29"/>
    <mergeCell ref="L30:P35"/>
    <mergeCell ref="K7:P10"/>
    <mergeCell ref="K11:P15"/>
    <mergeCell ref="K16:P20"/>
    <mergeCell ref="L21:P24"/>
    <mergeCell ref="A1:H1"/>
    <mergeCell ref="J1:P1"/>
    <mergeCell ref="A2:H2"/>
    <mergeCell ref="K2:P2"/>
    <mergeCell ref="A3:H3"/>
    <mergeCell ref="J3:J6"/>
    <mergeCell ref="K3:P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0"/>
  <sheetViews>
    <sheetView showGridLines="0" workbookViewId="0">
      <selection activeCell="I6" sqref="I6"/>
    </sheetView>
  </sheetViews>
  <sheetFormatPr defaultColWidth="12.6640625" defaultRowHeight="15" customHeight="1"/>
  <cols>
    <col min="1" max="1" width="3.33203125" customWidth="1"/>
    <col min="2" max="2" width="13.77734375" customWidth="1"/>
    <col min="3" max="3" width="19" customWidth="1"/>
    <col min="4" max="4" width="15.33203125" customWidth="1"/>
    <col min="5" max="5" width="26.77734375" customWidth="1"/>
    <col min="6" max="6" width="18.77734375" customWidth="1"/>
    <col min="7" max="7" width="16" customWidth="1"/>
    <col min="8" max="8" width="31.33203125" customWidth="1"/>
    <col min="9" max="9" width="19" customWidth="1"/>
  </cols>
  <sheetData>
    <row r="1" spans="1:12" ht="15.75" customHeight="1">
      <c r="A1" s="25" t="s">
        <v>0</v>
      </c>
      <c r="B1" s="26"/>
      <c r="C1" s="26"/>
      <c r="D1" s="26"/>
      <c r="E1" s="26"/>
      <c r="F1" s="26"/>
      <c r="G1" s="26"/>
      <c r="H1" s="26"/>
      <c r="I1" s="26"/>
    </row>
    <row r="2" spans="1:12" ht="15.75" customHeight="1">
      <c r="A2" s="27" t="s">
        <v>2</v>
      </c>
      <c r="B2" s="26"/>
      <c r="C2" s="26"/>
      <c r="D2" s="26"/>
      <c r="E2" s="26"/>
      <c r="F2" s="26"/>
      <c r="G2" s="26"/>
      <c r="H2" s="26"/>
      <c r="I2" s="26"/>
    </row>
    <row r="3" spans="1:12" ht="15.75" customHeight="1">
      <c r="A3" s="28" t="s">
        <v>5</v>
      </c>
      <c r="B3" s="29"/>
      <c r="C3" s="29"/>
      <c r="D3" s="29"/>
      <c r="E3" s="29"/>
      <c r="F3" s="29"/>
      <c r="G3" s="29"/>
      <c r="H3" s="29"/>
      <c r="I3" s="29"/>
    </row>
    <row r="4" spans="1:12" ht="15.75" customHeight="1">
      <c r="L4" s="11"/>
    </row>
    <row r="5" spans="1:12" ht="15.75" customHeight="1">
      <c r="A5" s="4" t="s">
        <v>85</v>
      </c>
      <c r="B5" s="5" t="s">
        <v>11</v>
      </c>
      <c r="C5" s="4" t="s">
        <v>10</v>
      </c>
      <c r="D5" s="4" t="s">
        <v>86</v>
      </c>
      <c r="E5" s="4" t="s">
        <v>9</v>
      </c>
      <c r="F5" s="9" t="s">
        <v>87</v>
      </c>
      <c r="G5" s="5" t="s">
        <v>88</v>
      </c>
      <c r="H5" s="5" t="s">
        <v>89</v>
      </c>
      <c r="I5" s="5" t="s">
        <v>90</v>
      </c>
      <c r="L5" s="11"/>
    </row>
    <row r="6" spans="1:12" ht="15.75" customHeight="1">
      <c r="A6" s="6">
        <v>1</v>
      </c>
      <c r="B6" s="6" t="s">
        <v>17</v>
      </c>
      <c r="C6" s="7" t="str">
        <f t="array" ref="C6">_xlfn.XLOOKUP(B6,'Data Acuan'!$E$6:$E$35,'Data Acuan'!$D$6:$D$35)</f>
        <v>LOKA WIRANTA</v>
      </c>
      <c r="D6" s="8" t="s">
        <v>91</v>
      </c>
      <c r="E6" s="7" t="str">
        <f t="array" ref="E6">_xlfn.XLOOKUP(B6,'Data Acuan'!$E$6:$E$35,'Data Acuan'!$C$6:$C$35)</f>
        <v>Key Account Manager</v>
      </c>
      <c r="F6" s="10">
        <v>13500000</v>
      </c>
      <c r="G6" s="7" t="str">
        <f t="array" ref="G6">_xlfn.XLOOKUP(B6,'Data Acuan'!$E$6:$E$35,'Data Acuan'!$B$6:$B$35)</f>
        <v>Sumedang</v>
      </c>
      <c r="H6" s="7" t="str">
        <f>_xlfn.XLOOKUP(B6,'Data Acuan'!$E$6:$E$35,'Data Acuan'!$B$6:$B$35,,,-1)</f>
        <v>Jambi</v>
      </c>
      <c r="I6" s="12">
        <f t="array" ref="I6">_xlfn.XLOOKUP(F6,'Data Acuan'!$H$6:$H$10,'Data Acuan'!$G$6:$G$10,,-1)</f>
        <v>2E-3</v>
      </c>
      <c r="L6" s="11"/>
    </row>
    <row r="7" spans="1:12" ht="15.75" customHeight="1">
      <c r="A7" s="6">
        <v>2</v>
      </c>
      <c r="B7" s="6" t="s">
        <v>45</v>
      </c>
      <c r="C7" s="7" t="str">
        <f t="array" ref="C7">_xlfn.XLOOKUP(B7,'Data Acuan'!$E$6:$E$35,'Data Acuan'!$D$6:$D$35)</f>
        <v>SONG ZUER</v>
      </c>
      <c r="D7" s="8" t="s">
        <v>92</v>
      </c>
      <c r="E7" s="7" t="str">
        <f t="array" ref="E7">_xlfn.XLOOKUP(B7,'Data Acuan'!$E$6:$E$35,'Data Acuan'!$C$6:$C$35)</f>
        <v>Sales Representative</v>
      </c>
      <c r="F7" s="10">
        <v>9000000</v>
      </c>
      <c r="G7" s="7" t="str">
        <f t="array" ref="G7">_xlfn.XLOOKUP(B7,'Data Acuan'!$E$6:$E$35,'Data Acuan'!$B$6:$B$35)</f>
        <v>Padang</v>
      </c>
      <c r="H7" s="7" t="str">
        <f t="array" ref="H7">_xlfn.XLOOKUP(B7,'Data Acuan'!$E$6:$E$35,'Data Acuan'!$B$6:$B$35,,,-1)</f>
        <v>Padang</v>
      </c>
      <c r="I7" s="12">
        <f t="array" ref="I7">_xlfn.XLOOKUP(F7,'Data Acuan'!$H$6:$H$10,'Data Acuan'!$G$6:$G$10,,-1)</f>
        <v>1E-3</v>
      </c>
      <c r="L7" s="11"/>
    </row>
    <row r="8" spans="1:12" ht="15.75" customHeight="1">
      <c r="A8" s="6">
        <v>3</v>
      </c>
      <c r="B8" s="6" t="s">
        <v>35</v>
      </c>
      <c r="C8" s="7" t="str">
        <f t="array" ref="C8">_xlfn.XLOOKUP(B8,'Data Acuan'!$E$6:$E$35,'Data Acuan'!$D$6:$D$35)</f>
        <v>VARO GHANTIRA</v>
      </c>
      <c r="D8" s="8" t="s">
        <v>91</v>
      </c>
      <c r="E8" s="7" t="str">
        <f t="array" ref="E8">_xlfn.XLOOKUP(B8,'Data Acuan'!$E$6:$E$35,'Data Acuan'!$C$6:$C$35)</f>
        <v>Sales Representative</v>
      </c>
      <c r="F8" s="10">
        <v>10000000</v>
      </c>
      <c r="G8" s="7" t="str">
        <f t="array" ref="G8">_xlfn.XLOOKUP(B8,'Data Acuan'!$E$6:$E$35,'Data Acuan'!$B$6:$B$35)</f>
        <v>Bali</v>
      </c>
      <c r="H8" s="7" t="str">
        <f t="array" ref="H8">_xlfn.XLOOKUP(B8,'Data Acuan'!$E$6:$E$35,'Data Acuan'!$B$6:$B$35,,,-1)</f>
        <v>Bali</v>
      </c>
      <c r="I8" s="12">
        <f t="array" ref="I8">_xlfn.XLOOKUP(F8,'Data Acuan'!$H$6:$H$10,'Data Acuan'!$G$6:$G$10,,-1)</f>
        <v>2E-3</v>
      </c>
      <c r="L8" s="11"/>
    </row>
    <row r="9" spans="1:12" ht="15.75" customHeight="1">
      <c r="A9" s="6">
        <v>4</v>
      </c>
      <c r="B9" s="6" t="s">
        <v>25</v>
      </c>
      <c r="C9" s="7" t="str">
        <f t="array" ref="C9">_xlfn.XLOOKUP(B9,'Data Acuan'!$E$6:$E$35,'Data Acuan'!$D$6:$D$35)</f>
        <v>SUN ZHENNI</v>
      </c>
      <c r="D9" s="8" t="s">
        <v>92</v>
      </c>
      <c r="E9" s="7" t="str">
        <f t="array" ref="E9">_xlfn.XLOOKUP(B9,'Data Acuan'!$E$6:$E$35,'Data Acuan'!$C$6:$C$35)</f>
        <v>Sales Representative</v>
      </c>
      <c r="F9" s="10">
        <v>8500000</v>
      </c>
      <c r="G9" s="7" t="str">
        <f t="array" ref="G9">_xlfn.XLOOKUP(B9,'Data Acuan'!$E$6:$E$35,'Data Acuan'!$B$6:$B$35)</f>
        <v>Jakarta</v>
      </c>
      <c r="H9" s="7" t="str">
        <f t="array" ref="H9">_xlfn.XLOOKUP(B9,'Data Acuan'!$E$6:$E$35,'Data Acuan'!$B$6:$B$35,,,-1)</f>
        <v>Bandung</v>
      </c>
      <c r="I9" s="12">
        <f t="array" ref="I9">_xlfn.XLOOKUP(F9,'Data Acuan'!$H$6:$H$10,'Data Acuan'!$G$6:$G$10,,-1)</f>
        <v>1E-3</v>
      </c>
      <c r="L9" s="11"/>
    </row>
    <row r="10" spans="1:12" ht="15.75" customHeight="1">
      <c r="A10" s="6">
        <v>5</v>
      </c>
      <c r="B10" s="6" t="s">
        <v>48</v>
      </c>
      <c r="C10" s="7" t="str">
        <f t="array" ref="C10">_xlfn.XLOOKUP(B10,'Data Acuan'!$E$6:$E$35,'Data Acuan'!$D$6:$D$35)</f>
        <v>ZHAO YUE</v>
      </c>
      <c r="D10" s="8" t="s">
        <v>92</v>
      </c>
      <c r="E10" s="7" t="str">
        <f t="array" ref="E10">_xlfn.XLOOKUP(B10,'Data Acuan'!$E$6:$E$35,'Data Acuan'!$C$6:$C$35)</f>
        <v>Key Account Manager</v>
      </c>
      <c r="F10" s="10">
        <v>27000000</v>
      </c>
      <c r="G10" s="7" t="str">
        <f t="array" ref="G10">_xlfn.XLOOKUP(B10,'Data Acuan'!$E$6:$E$35,'Data Acuan'!$B$6:$B$35)</f>
        <v>Medan</v>
      </c>
      <c r="H10" s="7" t="str">
        <f t="array" ref="H10">_xlfn.XLOOKUP(B10,'Data Acuan'!$E$6:$E$35,'Data Acuan'!$B$6:$B$35,,,-1)</f>
        <v>Medan</v>
      </c>
      <c r="I10" s="12">
        <f t="array" ref="I10">_xlfn.XLOOKUP(F10,'Data Acuan'!$H$6:$H$10,'Data Acuan'!$G$6:$G$10,,-1)</f>
        <v>3.0000000000000001E-3</v>
      </c>
      <c r="L10" s="11"/>
    </row>
    <row r="11" spans="1:12" ht="15.75" customHeight="1">
      <c r="A11" s="6">
        <v>6</v>
      </c>
      <c r="B11" s="6" t="s">
        <v>42</v>
      </c>
      <c r="C11" s="7" t="str">
        <f t="array" ref="C11">_xlfn.XLOOKUP(B11,'Data Acuan'!$E$6:$E$35,'Data Acuan'!$D$6:$D$35)</f>
        <v>ETHAN CHALLISTER</v>
      </c>
      <c r="D11" s="8" t="s">
        <v>91</v>
      </c>
      <c r="E11" s="7" t="str">
        <f t="array" ref="E11">_xlfn.XLOOKUP(B11,'Data Acuan'!$E$6:$E$35,'Data Acuan'!$C$6:$C$35)</f>
        <v>District Sales Manager</v>
      </c>
      <c r="F11" s="10">
        <v>20000000</v>
      </c>
      <c r="G11" s="7" t="str">
        <f t="array" ref="G11">_xlfn.XLOOKUP(B11,'Data Acuan'!$E$6:$E$35,'Data Acuan'!$B$6:$B$35)</f>
        <v>Sumedang</v>
      </c>
      <c r="H11" s="7" t="str">
        <f t="array" ref="H11">_xlfn.XLOOKUP(B11,'Data Acuan'!$E$6:$E$35,'Data Acuan'!$B$6:$B$35,,,-1)</f>
        <v>Sumedang</v>
      </c>
      <c r="I11" s="12">
        <f t="array" ref="I11">_xlfn.XLOOKUP(F11,'Data Acuan'!$H$6:$H$10,'Data Acuan'!$G$6:$G$10,,-1)</f>
        <v>3.0000000000000001E-3</v>
      </c>
      <c r="L11" s="11"/>
    </row>
    <row r="12" spans="1:12" ht="15.75" customHeight="1">
      <c r="A12" s="6">
        <v>7</v>
      </c>
      <c r="B12" s="6" t="s">
        <v>39</v>
      </c>
      <c r="C12" s="7" t="str">
        <f t="array" ref="C12">_xlfn.XLOOKUP(B12,'Data Acuan'!$E$6:$E$35,'Data Acuan'!$D$6:$D$35)</f>
        <v>CHIKA YURESTA</v>
      </c>
      <c r="D12" s="8" t="s">
        <v>92</v>
      </c>
      <c r="E12" s="7" t="str">
        <f t="array" ref="E12">_xlfn.XLOOKUP(B12,'Data Acuan'!$E$6:$E$35,'Data Acuan'!$C$6:$C$35)</f>
        <v>Sales Representative</v>
      </c>
      <c r="F12" s="10">
        <v>25000000</v>
      </c>
      <c r="G12" s="7" t="str">
        <f t="array" ref="G12">_xlfn.XLOOKUP(B12,'Data Acuan'!$E$6:$E$35,'Data Acuan'!$B$6:$B$35)</f>
        <v>Palembang</v>
      </c>
      <c r="H12" s="7" t="str">
        <f t="array" ref="H12">_xlfn.XLOOKUP(B12,'Data Acuan'!$E$6:$E$35,'Data Acuan'!$B$6:$B$35,,,-1)</f>
        <v>Palembang</v>
      </c>
      <c r="I12" s="12">
        <f t="array" ref="I12">_xlfn.XLOOKUP(F12,'Data Acuan'!$H$6:$H$10,'Data Acuan'!$G$6:$G$10,,-1)</f>
        <v>3.0000000000000001E-3</v>
      </c>
      <c r="L12" s="11"/>
    </row>
    <row r="13" spans="1:12" ht="15.75" customHeight="1">
      <c r="A13" s="6">
        <v>8</v>
      </c>
      <c r="B13" s="6" t="s">
        <v>51</v>
      </c>
      <c r="C13" s="7" t="str">
        <f t="array" ref="C13">_xlfn.XLOOKUP(B13,'Data Acuan'!$E$6:$E$35,'Data Acuan'!$D$6:$D$35)</f>
        <v>GALAN MERDANA</v>
      </c>
      <c r="D13" s="8" t="s">
        <v>91</v>
      </c>
      <c r="E13" s="7" t="str">
        <f t="array" ref="E13">_xlfn.XLOOKUP(B13,'Data Acuan'!$E$6:$E$35,'Data Acuan'!$C$6:$C$35)</f>
        <v>District Sales Manager</v>
      </c>
      <c r="F13" s="10">
        <v>30000000</v>
      </c>
      <c r="G13" s="7" t="str">
        <f t="array" ref="G13">_xlfn.XLOOKUP(B13,'Data Acuan'!$E$6:$E$35,'Data Acuan'!$B$6:$B$35)</f>
        <v>Surabaya</v>
      </c>
      <c r="H13" s="7" t="str">
        <f t="array" ref="H13">_xlfn.XLOOKUP(B13,'Data Acuan'!$E$6:$E$35,'Data Acuan'!$B$6:$B$35,,,-1)</f>
        <v>Surabaya</v>
      </c>
      <c r="I13" s="12">
        <f t="array" ref="I13">_xlfn.XLOOKUP(F13,'Data Acuan'!$H$6:$H$10,'Data Acuan'!$G$6:$G$10,,-1)</f>
        <v>4.0000000000000001E-3</v>
      </c>
      <c r="L13" s="11"/>
    </row>
    <row r="14" spans="1:12" ht="15.75" customHeight="1">
      <c r="A14" s="6">
        <v>9</v>
      </c>
      <c r="B14" s="6" t="s">
        <v>28</v>
      </c>
      <c r="C14" s="7" t="str">
        <f t="array" ref="C14">_xlfn.XLOOKUP(B14,'Data Acuan'!$E$6:$E$35,'Data Acuan'!$D$6:$D$35)</f>
        <v>VANYA RUSELINA</v>
      </c>
      <c r="D14" s="8" t="s">
        <v>92</v>
      </c>
      <c r="E14" s="7" t="str">
        <f t="array" ref="E14">_xlfn.XLOOKUP(B14,'Data Acuan'!$E$6:$E$35,'Data Acuan'!$C$6:$C$35)</f>
        <v>Sales Representative</v>
      </c>
      <c r="F14" s="10">
        <v>35000000</v>
      </c>
      <c r="G14" s="7" t="str">
        <f t="array" ref="G14">_xlfn.XLOOKUP(B14,'Data Acuan'!$E$6:$E$35,'Data Acuan'!$B$6:$B$35)</f>
        <v>Jambi</v>
      </c>
      <c r="H14" s="7" t="str">
        <f t="array" ref="H14">_xlfn.XLOOKUP(B14,'Data Acuan'!$E$6:$E$35,'Data Acuan'!$B$6:$B$35,,,-1)</f>
        <v>Bandung</v>
      </c>
      <c r="I14" s="12">
        <f t="array" ref="I14">_xlfn.XLOOKUP(F14,'Data Acuan'!$H$6:$H$10,'Data Acuan'!$G$6:$G$10,,-1)</f>
        <v>4.0000000000000001E-3</v>
      </c>
    </row>
    <row r="15" spans="1:12" ht="15.75" customHeight="1">
      <c r="A15" s="6">
        <v>10</v>
      </c>
      <c r="B15" s="6" t="s">
        <v>58</v>
      </c>
      <c r="C15" s="7" t="str">
        <f t="array" ref="C15">_xlfn.XLOOKUP(B15,'Data Acuan'!$E$6:$E$35,'Data Acuan'!$D$6:$D$35)</f>
        <v>LINDA SERWASTI</v>
      </c>
      <c r="D15" s="8" t="s">
        <v>92</v>
      </c>
      <c r="E15" s="7" t="str">
        <f t="array" ref="E15">_xlfn.XLOOKUP(B15,'Data Acuan'!$E$6:$E$35,'Data Acuan'!$C$6:$C$35)</f>
        <v>Sales Representative</v>
      </c>
      <c r="F15" s="10">
        <v>44500000</v>
      </c>
      <c r="G15" s="7" t="str">
        <f t="array" ref="G15">_xlfn.XLOOKUP(B15,'Data Acuan'!$E$6:$E$35,'Data Acuan'!$B$6:$B$35)</f>
        <v>Lampung</v>
      </c>
      <c r="H15" s="7" t="str">
        <f t="array" ref="H15">_xlfn.XLOOKUP(B15,'Data Acuan'!$E$6:$E$35,'Data Acuan'!$B$6:$B$35,,,-1)</f>
        <v>Lampung</v>
      </c>
      <c r="I15" s="12">
        <f t="array" ref="I15">_xlfn.XLOOKUP(F15,'Data Acuan'!$H$6:$H$10,'Data Acuan'!$G$6:$G$10,,-1)</f>
        <v>5.0000000000000001E-3</v>
      </c>
    </row>
    <row r="16" spans="1:12" ht="15.75" customHeight="1">
      <c r="A16" s="6">
        <v>11</v>
      </c>
      <c r="B16" s="6" t="s">
        <v>55</v>
      </c>
      <c r="C16" s="7" t="str">
        <f t="array" ref="C16">_xlfn.XLOOKUP(B16,'Data Acuan'!$E$6:$E$35,'Data Acuan'!$D$6:$D$35)</f>
        <v>ZHANG YUNLONG</v>
      </c>
      <c r="D16" s="8" t="s">
        <v>91</v>
      </c>
      <c r="E16" s="7" t="str">
        <f t="array" ref="E16">_xlfn.XLOOKUP(B16,'Data Acuan'!$E$6:$E$35,'Data Acuan'!$C$6:$C$35)</f>
        <v>Key Account Manager</v>
      </c>
      <c r="F16" s="10">
        <v>22500000</v>
      </c>
      <c r="G16" s="7" t="str">
        <f t="array" ref="G16">_xlfn.XLOOKUP(B16,'Data Acuan'!$E$6:$E$35,'Data Acuan'!$B$6:$B$35)</f>
        <v>Aceh</v>
      </c>
      <c r="H16" s="7" t="str">
        <f t="array" ref="H16">_xlfn.XLOOKUP(B16,'Data Acuan'!$E$6:$E$35,'Data Acuan'!$B$6:$B$35,,,-1)</f>
        <v>Aceh</v>
      </c>
      <c r="I16" s="12">
        <f t="array" ref="I16">_xlfn.XLOOKUP(F16,'Data Acuan'!$H$6:$H$10,'Data Acuan'!$G$6:$G$10,,-1)</f>
        <v>3.0000000000000001E-3</v>
      </c>
    </row>
    <row r="17" spans="1:12" ht="15.75" customHeight="1">
      <c r="A17" s="6">
        <v>12</v>
      </c>
      <c r="B17" s="6" t="s">
        <v>21</v>
      </c>
      <c r="C17" s="7" t="str">
        <f t="array" ref="C17">_xlfn.XLOOKUP(B17,'Data Acuan'!$E$6:$E$35,'Data Acuan'!$D$6:$D$35)</f>
        <v>HANA LIN</v>
      </c>
      <c r="D17" s="8" t="s">
        <v>92</v>
      </c>
      <c r="E17" s="7" t="str">
        <f t="array" ref="E17">_xlfn.XLOOKUP(B17,'Data Acuan'!$E$6:$E$35,'Data Acuan'!$C$6:$C$35)</f>
        <v>Sales Representative</v>
      </c>
      <c r="F17" s="10">
        <v>7500000</v>
      </c>
      <c r="G17" s="7" t="str">
        <f t="array" ref="G17">_xlfn.XLOOKUP(B17,'Data Acuan'!$E$6:$E$35,'Data Acuan'!$B$6:$B$35)</f>
        <v>Bandung</v>
      </c>
      <c r="H17" s="7" t="str">
        <f t="array" ref="H17">_xlfn.XLOOKUP(B17,'Data Acuan'!$E$6:$E$35,'Data Acuan'!$B$6:$B$35,,,-1)</f>
        <v>Yogyakarta</v>
      </c>
      <c r="I17" s="12">
        <f t="array" ref="I17">_xlfn.XLOOKUP(F17,'Data Acuan'!$H$6:$H$10,'Data Acuan'!$G$6:$G$10,,-1)</f>
        <v>1E-3</v>
      </c>
    </row>
    <row r="18" spans="1:12" ht="15.75" customHeight="1">
      <c r="A18" s="6">
        <v>13</v>
      </c>
      <c r="B18" s="6" t="s">
        <v>61</v>
      </c>
      <c r="C18" s="7" t="str">
        <f t="array" ref="C18">_xlfn.XLOOKUP(B18,'Data Acuan'!$E$6:$E$35,'Data Acuan'!$D$6:$D$35)</f>
        <v>CALVIN TRASMOKO</v>
      </c>
      <c r="D18" s="8" t="s">
        <v>91</v>
      </c>
      <c r="E18" s="7" t="str">
        <f t="array" ref="E18">_xlfn.XLOOKUP(B18,'Data Acuan'!$E$6:$E$35,'Data Acuan'!$C$6:$C$35)</f>
        <v>Sales Representative</v>
      </c>
      <c r="F18" s="10">
        <v>10000000</v>
      </c>
      <c r="G18" s="7" t="str">
        <f t="array" ref="G18">_xlfn.XLOOKUP(B18,'Data Acuan'!$E$6:$E$35,'Data Acuan'!$B$6:$B$35)</f>
        <v>Bogor</v>
      </c>
      <c r="H18" s="7" t="str">
        <f t="array" ref="H18">_xlfn.XLOOKUP(B18,'Data Acuan'!$E$6:$E$35,'Data Acuan'!$B$6:$B$35,,,-1)</f>
        <v>Bogor</v>
      </c>
      <c r="I18" s="12">
        <f t="array" ref="I18">_xlfn.XLOOKUP(F18,'Data Acuan'!$H$6:$H$10,'Data Acuan'!$G$6:$G$10,,-1)</f>
        <v>2E-3</v>
      </c>
      <c r="K18" s="13"/>
      <c r="L18" s="11"/>
    </row>
    <row r="19" spans="1:12" ht="15.75" customHeight="1">
      <c r="A19" s="6">
        <v>14</v>
      </c>
      <c r="B19" s="6" t="s">
        <v>32</v>
      </c>
      <c r="C19" s="7" t="str">
        <f t="array" ref="C19">_xlfn.XLOOKUP(B19,'Data Acuan'!$E$6:$E$35,'Data Acuan'!$D$6:$D$35)</f>
        <v>KARYO LIMANTARA</v>
      </c>
      <c r="D19" s="8" t="s">
        <v>91</v>
      </c>
      <c r="E19" s="7" t="str">
        <f t="array" ref="E19">_xlfn.XLOOKUP(B19,'Data Acuan'!$E$6:$E$35,'Data Acuan'!$C$6:$C$35)</f>
        <v>Business Development Executive</v>
      </c>
      <c r="F19" s="10">
        <v>13500000</v>
      </c>
      <c r="G19" s="7" t="str">
        <f t="array" ref="G19">_xlfn.XLOOKUP(B19,'Data Acuan'!$E$6:$E$35,'Data Acuan'!$B$6:$B$35)</f>
        <v>Yogyakarta</v>
      </c>
      <c r="H19" s="7" t="str">
        <f t="array" ref="H19">_xlfn.XLOOKUP(B19,'Data Acuan'!$E$6:$E$35,'Data Acuan'!$B$6:$B$35,,,-1)</f>
        <v>Bandung</v>
      </c>
      <c r="I19" s="12">
        <f t="array" ref="I19">_xlfn.XLOOKUP(F19,'Data Acuan'!$H$6:$H$10,'Data Acuan'!$G$6:$G$10,,-1)</f>
        <v>2E-3</v>
      </c>
      <c r="K19" s="13"/>
      <c r="L19" s="11"/>
    </row>
    <row r="20" spans="1:12" ht="15.75" customHeight="1">
      <c r="A20" s="6">
        <v>15</v>
      </c>
      <c r="B20" s="6" t="s">
        <v>66</v>
      </c>
      <c r="C20" s="7" t="str">
        <f t="array" ref="C20">_xlfn.XLOOKUP(B20,'Data Acuan'!$E$6:$E$35,'Data Acuan'!$D$6:$D$35)</f>
        <v>NIRA ZALINDRA</v>
      </c>
      <c r="D20" s="8" t="s">
        <v>92</v>
      </c>
      <c r="E20" s="7" t="str">
        <f t="array" ref="E20">_xlfn.XLOOKUP(B20,'Data Acuan'!$E$6:$E$35,'Data Acuan'!$C$6:$C$35)</f>
        <v>Sales Representative</v>
      </c>
      <c r="F20" s="10">
        <v>35000000</v>
      </c>
      <c r="G20" s="7" t="str">
        <f t="array" ref="G20">_xlfn.XLOOKUP(B20,'Data Acuan'!$E$6:$E$35,'Data Acuan'!$B$6:$B$35)</f>
        <v>Bekasi</v>
      </c>
      <c r="H20" s="7" t="str">
        <f t="array" ref="H20">_xlfn.XLOOKUP(B20,'Data Acuan'!$E$6:$E$35,'Data Acuan'!$B$6:$B$35,,,-1)</f>
        <v>Bekasi</v>
      </c>
      <c r="I20" s="12">
        <f t="array" ref="I20">_xlfn.XLOOKUP(F20,'Data Acuan'!$H$6:$H$10,'Data Acuan'!$G$6:$G$10,,-1)</f>
        <v>4.0000000000000001E-3</v>
      </c>
      <c r="K20" s="13"/>
      <c r="L20" s="11"/>
    </row>
    <row r="21" spans="1:12" ht="15.75" customHeight="1">
      <c r="K21" s="13"/>
      <c r="L21" s="11"/>
    </row>
    <row r="22" spans="1:12" ht="15.75" customHeight="1">
      <c r="K22" s="13"/>
      <c r="L22" s="11"/>
    </row>
    <row r="23" spans="1:12" ht="15.75" customHeight="1"/>
    <row r="24" spans="1:12" ht="15.75" customHeight="1">
      <c r="I24" s="14"/>
      <c r="K24" s="13"/>
    </row>
    <row r="25" spans="1:12" ht="15.75" customHeight="1">
      <c r="K25" s="13"/>
    </row>
    <row r="26" spans="1:12" ht="15.75" customHeight="1">
      <c r="K26" s="13"/>
    </row>
    <row r="27" spans="1:12" ht="15.75" customHeight="1">
      <c r="K27" s="13"/>
    </row>
    <row r="28" spans="1:12" ht="15.75" customHeight="1">
      <c r="K28" s="13"/>
    </row>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3:I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0"/>
  <sheetViews>
    <sheetView showGridLines="0" workbookViewId="0">
      <selection activeCell="J17" sqref="J17"/>
    </sheetView>
  </sheetViews>
  <sheetFormatPr defaultColWidth="12.6640625" defaultRowHeight="15" customHeight="1"/>
  <cols>
    <col min="1" max="1" width="3.33203125" customWidth="1"/>
    <col min="2" max="2" width="13.77734375" customWidth="1"/>
    <col min="3" max="3" width="18.33203125" customWidth="1"/>
    <col min="4" max="4" width="14.77734375" customWidth="1"/>
    <col min="5" max="5" width="29" customWidth="1"/>
    <col min="6" max="6" width="19.6640625" customWidth="1"/>
    <col min="7" max="7" width="24.109375" customWidth="1"/>
    <col min="8" max="8" width="31.77734375" customWidth="1"/>
    <col min="9" max="9" width="31.88671875" customWidth="1"/>
  </cols>
  <sheetData>
    <row r="1" spans="1:9" ht="15.75" customHeight="1">
      <c r="A1" s="25" t="s">
        <v>0</v>
      </c>
      <c r="B1" s="26"/>
      <c r="C1" s="26"/>
      <c r="D1" s="26"/>
      <c r="E1" s="26"/>
      <c r="F1" s="26"/>
      <c r="G1" s="26"/>
      <c r="H1" s="26"/>
      <c r="I1" s="26"/>
    </row>
    <row r="2" spans="1:9" ht="15.75" customHeight="1">
      <c r="A2" s="27" t="s">
        <v>2</v>
      </c>
      <c r="B2" s="26"/>
      <c r="C2" s="26"/>
      <c r="D2" s="26"/>
      <c r="E2" s="26"/>
      <c r="F2" s="26"/>
      <c r="G2" s="26"/>
      <c r="H2" s="26"/>
      <c r="I2" s="26"/>
    </row>
    <row r="3" spans="1:9" ht="15.75" customHeight="1">
      <c r="A3" s="28" t="s">
        <v>5</v>
      </c>
      <c r="B3" s="29"/>
      <c r="C3" s="29"/>
      <c r="D3" s="29"/>
      <c r="E3" s="29"/>
      <c r="F3" s="29"/>
      <c r="G3" s="29"/>
      <c r="H3" s="29"/>
      <c r="I3" s="29"/>
    </row>
    <row r="4" spans="1:9" ht="15.75" customHeight="1">
      <c r="A4" s="3"/>
      <c r="B4" s="3"/>
      <c r="C4" s="3"/>
      <c r="D4" s="3"/>
      <c r="E4" s="3"/>
      <c r="F4" s="3"/>
      <c r="G4" s="3"/>
      <c r="H4" s="3"/>
      <c r="I4" s="3"/>
    </row>
    <row r="5" spans="1:9" ht="15.75" customHeight="1">
      <c r="A5" s="4" t="s">
        <v>85</v>
      </c>
      <c r="B5" s="5" t="s">
        <v>11</v>
      </c>
      <c r="C5" s="4"/>
      <c r="D5" s="4" t="s">
        <v>86</v>
      </c>
      <c r="E5" s="4" t="s">
        <v>9</v>
      </c>
      <c r="F5" s="9" t="s">
        <v>87</v>
      </c>
      <c r="G5" s="5" t="s">
        <v>88</v>
      </c>
      <c r="H5" s="5" t="s">
        <v>89</v>
      </c>
      <c r="I5" s="5" t="s">
        <v>90</v>
      </c>
    </row>
    <row r="6" spans="1:9" ht="15.75" customHeight="1">
      <c r="A6" s="6">
        <v>1</v>
      </c>
      <c r="B6" s="6" t="s">
        <v>17</v>
      </c>
      <c r="C6" s="7" t="str">
        <f>_xlfn.XLOOKUP(B6,'Data Acuan'!$E$6:$E$35,'Data Acuan'!$D$6:$D$35)</f>
        <v>LOKA WIRANTA</v>
      </c>
      <c r="D6" s="8" t="s">
        <v>91</v>
      </c>
      <c r="E6" s="7" t="str">
        <f>_xlfn.XLOOKUP(Soal!B6,'Data Acuan'!$E$6:$E$35,'Data Acuan'!$C$6:$C$35)</f>
        <v>Key Account Manager</v>
      </c>
      <c r="F6" s="10">
        <v>13500000</v>
      </c>
      <c r="G6" s="7" t="str">
        <f>_xlfn.XLOOKUP(B6,'Data Acuan'!$E$6:$E$35,'Data Acuan'!$B$6:$B$35)</f>
        <v>Sumedang</v>
      </c>
      <c r="H6" s="7" t="str">
        <f>_xlfn.XLOOKUP(B6,'Data Acuan'!$E$6:$E$35,'Data Acuan'!$B$6:$B$35,,,-1)</f>
        <v>Jambi</v>
      </c>
      <c r="I6" s="12">
        <f>_xlfn.XLOOKUP(F6,'Data Acuan'!$H$6:$H$10,'Data Acuan'!$G$6:$G$10,,-1)</f>
        <v>2E-3</v>
      </c>
    </row>
    <row r="7" spans="1:9" ht="15.75" customHeight="1">
      <c r="A7" s="6">
        <v>2</v>
      </c>
      <c r="B7" s="6" t="s">
        <v>45</v>
      </c>
      <c r="C7" s="7" t="str">
        <f>_xlfn.XLOOKUP(B7,'Data Acuan'!$E$6:$E$35,'Data Acuan'!$D$6:$D$35)</f>
        <v>SONG ZUER</v>
      </c>
      <c r="D7" s="8" t="s">
        <v>92</v>
      </c>
      <c r="E7" s="7" t="str">
        <f>_xlfn.XLOOKUP(Soal!B7,'Data Acuan'!$E$6:$E$35,'Data Acuan'!$C$6:$C$35)</f>
        <v>Sales Representative</v>
      </c>
      <c r="F7" s="10">
        <v>9000000</v>
      </c>
      <c r="G7" s="7" t="str">
        <f>_xlfn.XLOOKUP(B7,'Data Acuan'!$E$6:$E$35,'Data Acuan'!$B$6:$B$35)</f>
        <v>Padang</v>
      </c>
      <c r="H7" s="7" t="str">
        <f>_xlfn.XLOOKUP(B7,'Data Acuan'!$E$6:$E$35,'Data Acuan'!$B$6:$B$35,,,-1)</f>
        <v>Padang</v>
      </c>
      <c r="I7" s="12">
        <f>_xlfn.XLOOKUP(F7,'Data Acuan'!$H$6:$H$10,'Data Acuan'!$G$6:$G$10,,-1)</f>
        <v>1E-3</v>
      </c>
    </row>
    <row r="8" spans="1:9" ht="15.75" customHeight="1">
      <c r="A8" s="6">
        <v>3</v>
      </c>
      <c r="B8" s="6" t="s">
        <v>35</v>
      </c>
      <c r="C8" s="7" t="str">
        <f>_xlfn.XLOOKUP(B8,'Data Acuan'!$E$6:$E$35,'Data Acuan'!$D$6:$D$35)</f>
        <v>VARO GHANTIRA</v>
      </c>
      <c r="D8" s="8" t="s">
        <v>91</v>
      </c>
      <c r="E8" s="7" t="str">
        <f>_xlfn.XLOOKUP(Soal!B8,'Data Acuan'!$E$6:$E$35,'Data Acuan'!$C$6:$C$35)</f>
        <v>Sales Representative</v>
      </c>
      <c r="F8" s="10">
        <v>10000000</v>
      </c>
      <c r="G8" s="7" t="str">
        <f>_xlfn.XLOOKUP(B8,'Data Acuan'!$E$6:$E$35,'Data Acuan'!$B$6:$B$35)</f>
        <v>Bali</v>
      </c>
      <c r="H8" s="7" t="str">
        <f>_xlfn.XLOOKUP(B8,'Data Acuan'!$E$6:$E$35,'Data Acuan'!$B$6:$B$35,,,-1)</f>
        <v>Bali</v>
      </c>
      <c r="I8" s="12">
        <f>_xlfn.XLOOKUP(F8,'Data Acuan'!$H$6:$H$10,'Data Acuan'!$G$6:$G$10,,-1)</f>
        <v>2E-3</v>
      </c>
    </row>
    <row r="9" spans="1:9" ht="15.75" customHeight="1">
      <c r="A9" s="6">
        <v>4</v>
      </c>
      <c r="B9" s="6" t="s">
        <v>25</v>
      </c>
      <c r="C9" s="7" t="str">
        <f>_xlfn.XLOOKUP(B9,'Data Acuan'!$E$6:$E$35,'Data Acuan'!$D$6:$D$35)</f>
        <v>SUN ZHENNI</v>
      </c>
      <c r="D9" s="8" t="s">
        <v>92</v>
      </c>
      <c r="E9" s="7" t="str">
        <f>_xlfn.XLOOKUP(Soal!B9,'Data Acuan'!$E$6:$E$35,'Data Acuan'!$C$6:$C$35)</f>
        <v>Sales Representative</v>
      </c>
      <c r="F9" s="10">
        <v>8500000</v>
      </c>
      <c r="G9" s="7" t="str">
        <f>_xlfn.XLOOKUP(B9,'Data Acuan'!$E$6:$E$35,'Data Acuan'!$B$6:$B$35)</f>
        <v>Jakarta</v>
      </c>
      <c r="H9" s="7" t="str">
        <f>_xlfn.XLOOKUP(B9,'Data Acuan'!$E$6:$E$35,'Data Acuan'!$B$6:$B$35,,,-1)</f>
        <v>Bandung</v>
      </c>
      <c r="I9" s="12">
        <f>_xlfn.XLOOKUP(F9,'Data Acuan'!$H$6:$H$10,'Data Acuan'!$G$6:$G$10,,-1)</f>
        <v>1E-3</v>
      </c>
    </row>
    <row r="10" spans="1:9" ht="15.75" customHeight="1">
      <c r="A10" s="6">
        <v>5</v>
      </c>
      <c r="B10" s="6" t="s">
        <v>48</v>
      </c>
      <c r="C10" s="7" t="str">
        <f>_xlfn.XLOOKUP(B10,'Data Acuan'!$E$6:$E$35,'Data Acuan'!$D$6:$D$35)</f>
        <v>ZHAO YUE</v>
      </c>
      <c r="D10" s="8" t="s">
        <v>92</v>
      </c>
      <c r="E10" s="7" t="str">
        <f>_xlfn.XLOOKUP(Soal!B10,'Data Acuan'!$E$6:$E$35,'Data Acuan'!$C$6:$C$35)</f>
        <v>Key Account Manager</v>
      </c>
      <c r="F10" s="10">
        <v>27000000</v>
      </c>
      <c r="G10" s="7" t="str">
        <f>_xlfn.XLOOKUP(B10,'Data Acuan'!$E$6:$E$35,'Data Acuan'!$B$6:$B$35)</f>
        <v>Medan</v>
      </c>
      <c r="H10" s="7" t="str">
        <f>_xlfn.XLOOKUP(B10,'Data Acuan'!$E$6:$E$35,'Data Acuan'!$B$6:$B$35,,,-1)</f>
        <v>Medan</v>
      </c>
      <c r="I10" s="12">
        <f>_xlfn.XLOOKUP(F10,'Data Acuan'!$H$6:$H$10,'Data Acuan'!$G$6:$G$10,,-1)</f>
        <v>3.0000000000000001E-3</v>
      </c>
    </row>
    <row r="11" spans="1:9" ht="15.75" customHeight="1">
      <c r="A11" s="6">
        <v>6</v>
      </c>
      <c r="B11" s="6" t="s">
        <v>42</v>
      </c>
      <c r="C11" s="7" t="str">
        <f>_xlfn.XLOOKUP(B11,'Data Acuan'!$E$6:$E$35,'Data Acuan'!$D$6:$D$35)</f>
        <v>ETHAN CHALLISTER</v>
      </c>
      <c r="D11" s="8" t="s">
        <v>91</v>
      </c>
      <c r="E11" s="7" t="str">
        <f>_xlfn.XLOOKUP(Soal!B11,'Data Acuan'!$E$6:$E$35,'Data Acuan'!$C$6:$C$35)</f>
        <v>District Sales Manager</v>
      </c>
      <c r="F11" s="10">
        <v>20000000</v>
      </c>
      <c r="G11" s="7" t="str">
        <f>_xlfn.XLOOKUP(B11,'Data Acuan'!$E$6:$E$35,'Data Acuan'!$B$6:$B$35)</f>
        <v>Sumedang</v>
      </c>
      <c r="H11" s="7" t="str">
        <f>_xlfn.XLOOKUP(B11,'Data Acuan'!$E$6:$E$35,'Data Acuan'!$B$6:$B$35,,,-1)</f>
        <v>Sumedang</v>
      </c>
      <c r="I11" s="12">
        <f>_xlfn.XLOOKUP(F11,'Data Acuan'!$H$6:$H$10,'Data Acuan'!$G$6:$G$10,,-1)</f>
        <v>3.0000000000000001E-3</v>
      </c>
    </row>
    <row r="12" spans="1:9" ht="15.75" customHeight="1">
      <c r="A12" s="6">
        <v>7</v>
      </c>
      <c r="B12" s="6" t="s">
        <v>39</v>
      </c>
      <c r="C12" s="7" t="str">
        <f>_xlfn.XLOOKUP(B12,'Data Acuan'!$E$6:$E$35,'Data Acuan'!$D$6:$D$35)</f>
        <v>CHIKA YURESTA</v>
      </c>
      <c r="D12" s="8" t="s">
        <v>92</v>
      </c>
      <c r="E12" s="7" t="str">
        <f>_xlfn.XLOOKUP(Soal!B12,'Data Acuan'!$E$6:$E$35,'Data Acuan'!$C$6:$C$35)</f>
        <v>Sales Representative</v>
      </c>
      <c r="F12" s="10">
        <v>25000000</v>
      </c>
      <c r="G12" s="7" t="str">
        <f>_xlfn.XLOOKUP(B12,'Data Acuan'!$E$6:$E$35,'Data Acuan'!$B$6:$B$35)</f>
        <v>Palembang</v>
      </c>
      <c r="H12" s="7" t="str">
        <f>_xlfn.XLOOKUP(B12,'Data Acuan'!$E$6:$E$35,'Data Acuan'!$B$6:$B$35,,,-1)</f>
        <v>Palembang</v>
      </c>
      <c r="I12" s="12">
        <f>_xlfn.XLOOKUP(F12,'Data Acuan'!$H$6:$H$10,'Data Acuan'!$G$6:$G$10,,-1)</f>
        <v>3.0000000000000001E-3</v>
      </c>
    </row>
    <row r="13" spans="1:9" ht="15.75" customHeight="1">
      <c r="A13" s="6">
        <v>8</v>
      </c>
      <c r="B13" s="6" t="s">
        <v>51</v>
      </c>
      <c r="C13" s="7" t="str">
        <f>_xlfn.XLOOKUP(B13,'Data Acuan'!$E$6:$E$35,'Data Acuan'!$D$6:$D$35)</f>
        <v>GALAN MERDANA</v>
      </c>
      <c r="D13" s="8" t="s">
        <v>91</v>
      </c>
      <c r="E13" s="7" t="str">
        <f>_xlfn.XLOOKUP(Soal!B13,'Data Acuan'!$E$6:$E$35,'Data Acuan'!$C$6:$C$35)</f>
        <v>District Sales Manager</v>
      </c>
      <c r="F13" s="10">
        <v>30000000</v>
      </c>
      <c r="G13" s="7" t="str">
        <f>_xlfn.XLOOKUP(B13,'Data Acuan'!$E$6:$E$35,'Data Acuan'!$B$6:$B$35)</f>
        <v>Surabaya</v>
      </c>
      <c r="H13" s="7" t="str">
        <f>_xlfn.XLOOKUP(B13,'Data Acuan'!$E$6:$E$35,'Data Acuan'!$B$6:$B$35,,,-1)</f>
        <v>Surabaya</v>
      </c>
      <c r="I13" s="12">
        <f>_xlfn.XLOOKUP(F13,'Data Acuan'!$H$6:$H$10,'Data Acuan'!$G$6:$G$10,,-1)</f>
        <v>4.0000000000000001E-3</v>
      </c>
    </row>
    <row r="14" spans="1:9" ht="15.75" customHeight="1">
      <c r="A14" s="6">
        <v>9</v>
      </c>
      <c r="B14" s="6" t="s">
        <v>28</v>
      </c>
      <c r="C14" s="7" t="str">
        <f>_xlfn.XLOOKUP(B14,'Data Acuan'!$E$6:$E$35,'Data Acuan'!$D$6:$D$35)</f>
        <v>VANYA RUSELINA</v>
      </c>
      <c r="D14" s="8" t="s">
        <v>92</v>
      </c>
      <c r="E14" s="7" t="str">
        <f>_xlfn.XLOOKUP(Soal!B14,'Data Acuan'!$E$6:$E$35,'Data Acuan'!$C$6:$C$35)</f>
        <v>Sales Representative</v>
      </c>
      <c r="F14" s="10">
        <v>35000000</v>
      </c>
      <c r="G14" s="7" t="str">
        <f>_xlfn.XLOOKUP(B14,'Data Acuan'!$E$6:$E$35,'Data Acuan'!$B$6:$B$35)</f>
        <v>Jambi</v>
      </c>
      <c r="H14" s="7" t="str">
        <f>_xlfn.XLOOKUP(B14,'Data Acuan'!$E$6:$E$35,'Data Acuan'!$B$6:$B$35,,,-1)</f>
        <v>Bandung</v>
      </c>
      <c r="I14" s="12">
        <f>_xlfn.XLOOKUP(F14,'Data Acuan'!$H$6:$H$10,'Data Acuan'!$G$6:$G$10,,-1)</f>
        <v>4.0000000000000001E-3</v>
      </c>
    </row>
    <row r="15" spans="1:9" ht="15.75" customHeight="1">
      <c r="A15" s="6">
        <v>10</v>
      </c>
      <c r="B15" s="6" t="s">
        <v>58</v>
      </c>
      <c r="C15" s="7" t="str">
        <f>_xlfn.XLOOKUP(B15,'Data Acuan'!$E$6:$E$35,'Data Acuan'!$D$6:$D$35)</f>
        <v>LINDA SERWASTI</v>
      </c>
      <c r="D15" s="8" t="s">
        <v>92</v>
      </c>
      <c r="E15" s="7" t="str">
        <f>_xlfn.XLOOKUP(Soal!B15,'Data Acuan'!$E$6:$E$35,'Data Acuan'!$C$6:$C$35)</f>
        <v>Sales Representative</v>
      </c>
      <c r="F15" s="10">
        <v>44500000</v>
      </c>
      <c r="G15" s="7" t="str">
        <f>_xlfn.XLOOKUP(B15,'Data Acuan'!$E$6:$E$35,'Data Acuan'!$B$6:$B$35)</f>
        <v>Lampung</v>
      </c>
      <c r="H15" s="7" t="str">
        <f>_xlfn.XLOOKUP(B15,'Data Acuan'!$E$6:$E$35,'Data Acuan'!$B$6:$B$35,,,-1)</f>
        <v>Lampung</v>
      </c>
      <c r="I15" s="12">
        <f>_xlfn.XLOOKUP(F15,'Data Acuan'!$H$6:$H$10,'Data Acuan'!$G$6:$G$10,,-1)</f>
        <v>5.0000000000000001E-3</v>
      </c>
    </row>
    <row r="16" spans="1:9" ht="15.75" customHeight="1">
      <c r="A16" s="6">
        <v>11</v>
      </c>
      <c r="B16" s="6" t="s">
        <v>55</v>
      </c>
      <c r="C16" s="7" t="str">
        <f>_xlfn.XLOOKUP(B16,'Data Acuan'!$E$6:$E$35,'Data Acuan'!$D$6:$D$35)</f>
        <v>ZHANG YUNLONG</v>
      </c>
      <c r="D16" s="8" t="s">
        <v>91</v>
      </c>
      <c r="E16" s="7" t="str">
        <f>_xlfn.XLOOKUP(Soal!B16,'Data Acuan'!$E$6:$E$35,'Data Acuan'!$C$6:$C$35)</f>
        <v>Key Account Manager</v>
      </c>
      <c r="F16" s="10">
        <v>22500000</v>
      </c>
      <c r="G16" s="7" t="str">
        <f>_xlfn.XLOOKUP(B16,'Data Acuan'!$E$6:$E$35,'Data Acuan'!$B$6:$B$35)</f>
        <v>Aceh</v>
      </c>
      <c r="H16" s="7" t="str">
        <f>_xlfn.XLOOKUP(B16,'Data Acuan'!$E$6:$E$35,'Data Acuan'!$B$6:$B$35,,,-1)</f>
        <v>Aceh</v>
      </c>
      <c r="I16" s="12">
        <f>_xlfn.XLOOKUP(F16,'Data Acuan'!$H$6:$H$10,'Data Acuan'!$G$6:$G$10,,-1)</f>
        <v>3.0000000000000001E-3</v>
      </c>
    </row>
    <row r="17" spans="1:9" ht="15.75" customHeight="1">
      <c r="A17" s="6">
        <v>12</v>
      </c>
      <c r="B17" s="6" t="s">
        <v>21</v>
      </c>
      <c r="C17" s="7" t="str">
        <f>_xlfn.XLOOKUP(B17,'Data Acuan'!$E$6:$E$35,'Data Acuan'!$D$6:$D$35)</f>
        <v>HANA LIN</v>
      </c>
      <c r="D17" s="8" t="s">
        <v>92</v>
      </c>
      <c r="E17" s="7" t="str">
        <f>_xlfn.XLOOKUP(Soal!B17,'Data Acuan'!$E$6:$E$35,'Data Acuan'!$C$6:$C$35)</f>
        <v>Sales Representative</v>
      </c>
      <c r="F17" s="10">
        <v>7500000</v>
      </c>
      <c r="G17" s="7" t="str">
        <f>_xlfn.XLOOKUP(B17,'Data Acuan'!$E$6:$E$35,'Data Acuan'!$B$6:$B$35)</f>
        <v>Bandung</v>
      </c>
      <c r="H17" s="7" t="str">
        <f>_xlfn.XLOOKUP(B17,'Data Acuan'!$E$6:$E$35,'Data Acuan'!$B$6:$B$35,,,-1)</f>
        <v>Yogyakarta</v>
      </c>
      <c r="I17" s="12">
        <f>_xlfn.XLOOKUP(F17,'Data Acuan'!$H$6:$H$10,'Data Acuan'!$G$6:$G$10,,-1)</f>
        <v>1E-3</v>
      </c>
    </row>
    <row r="18" spans="1:9" ht="15.75" customHeight="1">
      <c r="A18" s="6">
        <v>13</v>
      </c>
      <c r="B18" s="6" t="s">
        <v>61</v>
      </c>
      <c r="C18" s="7" t="str">
        <f>_xlfn.XLOOKUP(B18,'Data Acuan'!$E$6:$E$35,'Data Acuan'!$D$6:$D$35)</f>
        <v>CALVIN TRASMOKO</v>
      </c>
      <c r="D18" s="8" t="s">
        <v>91</v>
      </c>
      <c r="E18" s="7" t="str">
        <f>_xlfn.XLOOKUP(Soal!B18,'Data Acuan'!$E$6:$E$35,'Data Acuan'!$C$6:$C$35)</f>
        <v>Sales Representative</v>
      </c>
      <c r="F18" s="10">
        <v>10000000</v>
      </c>
      <c r="G18" s="7" t="str">
        <f>_xlfn.XLOOKUP(B18,'Data Acuan'!$E$6:$E$35,'Data Acuan'!$B$6:$B$35)</f>
        <v>Bogor</v>
      </c>
      <c r="H18" s="7" t="str">
        <f>_xlfn.XLOOKUP(B18,'Data Acuan'!$E$6:$E$35,'Data Acuan'!$B$6:$B$35,,,-1)</f>
        <v>Bogor</v>
      </c>
      <c r="I18" s="12">
        <f>_xlfn.XLOOKUP(F18,'Data Acuan'!$H$6:$H$10,'Data Acuan'!$G$6:$G$10,,-1)</f>
        <v>2E-3</v>
      </c>
    </row>
    <row r="19" spans="1:9" ht="15.75" customHeight="1">
      <c r="A19" s="6">
        <v>14</v>
      </c>
      <c r="B19" s="6" t="s">
        <v>32</v>
      </c>
      <c r="C19" s="7" t="str">
        <f>_xlfn.XLOOKUP(B19,'Data Acuan'!$E$6:$E$35,'Data Acuan'!$D$6:$D$35)</f>
        <v>KARYO LIMANTARA</v>
      </c>
      <c r="D19" s="8" t="s">
        <v>91</v>
      </c>
      <c r="E19" s="7" t="str">
        <f>_xlfn.XLOOKUP(Soal!B19,'Data Acuan'!$E$6:$E$35,'Data Acuan'!$C$6:$C$35)</f>
        <v>Business Development Executive</v>
      </c>
      <c r="F19" s="10">
        <v>13500000</v>
      </c>
      <c r="G19" s="7" t="str">
        <f>_xlfn.XLOOKUP(B19,'Data Acuan'!$E$6:$E$35,'Data Acuan'!$B$6:$B$35)</f>
        <v>Yogyakarta</v>
      </c>
      <c r="H19" s="7" t="str">
        <f>_xlfn.XLOOKUP(B19,'Data Acuan'!$E$6:$E$35,'Data Acuan'!$B$6:$B$35,,,-1)</f>
        <v>Bandung</v>
      </c>
      <c r="I19" s="12">
        <f>_xlfn.XLOOKUP(F19,'Data Acuan'!$H$6:$H$10,'Data Acuan'!$G$6:$G$10,,-1)</f>
        <v>2E-3</v>
      </c>
    </row>
    <row r="20" spans="1:9" ht="15.75" customHeight="1">
      <c r="A20" s="6">
        <v>15</v>
      </c>
      <c r="B20" s="6" t="s">
        <v>66</v>
      </c>
      <c r="C20" s="7" t="str">
        <f>_xlfn.XLOOKUP(B20,'Data Acuan'!$E$6:$E$35,'Data Acuan'!$D$6:$D$35)</f>
        <v>NIRA ZALINDRA</v>
      </c>
      <c r="D20" s="8" t="s">
        <v>92</v>
      </c>
      <c r="E20" s="7" t="str">
        <f>_xlfn.XLOOKUP(Soal!B20,'Data Acuan'!$E$6:$E$35,'Data Acuan'!$C$6:$C$35)</f>
        <v>Sales Representative</v>
      </c>
      <c r="F20" s="10">
        <v>35000000</v>
      </c>
      <c r="G20" s="7" t="str">
        <f>_xlfn.XLOOKUP(B20,'Data Acuan'!$E$6:$E$35,'Data Acuan'!$B$6:$B$35)</f>
        <v>Bekasi</v>
      </c>
      <c r="H20" s="7" t="str">
        <f>_xlfn.XLOOKUP(B20,'Data Acuan'!$E$6:$E$35,'Data Acuan'!$B$6:$B$35,,,-1)</f>
        <v>Bekasi</v>
      </c>
      <c r="I20" s="12">
        <f>_xlfn.XLOOKUP(F20,'Data Acuan'!$H$6:$H$10,'Data Acuan'!$G$6:$G$10,,-1)</f>
        <v>4.0000000000000001E-3</v>
      </c>
    </row>
    <row r="21" spans="1:9" ht="15.75" customHeight="1"/>
    <row r="22" spans="1:9" ht="15.75" customHeight="1"/>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3:I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Acuan</vt:lpstr>
      <vt:lpstr>Jawaban</vt: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 ASPIRE</cp:lastModifiedBy>
  <dcterms:created xsi:type="dcterms:W3CDTF">2026-05-06T14:47:11Z</dcterms:created>
  <dcterms:modified xsi:type="dcterms:W3CDTF">2026-09-19T06:58:57Z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6EE0F5F6F77B67C9FAE3FA693003CD7A_43</vt:lpwstr>
  </property>
  <property fmtid="{D5CDD505-2E9C-101B-9397-08002B2CF9AE}" pid="3" name="KSOProductBuildVer">
    <vt:lpwstr>1033-12.8.2.22595</vt:lpwstr>
  </property>
</Properties>
</file>