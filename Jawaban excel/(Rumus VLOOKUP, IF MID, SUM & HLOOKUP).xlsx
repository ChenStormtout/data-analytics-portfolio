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ortfo\Jawaban excel\"/>
    </mc:Choice>
  </mc:AlternateContent>
  <xr:revisionPtr revIDLastSave="0" documentId="8_{81315CD5-864C-45FD-90F0-107978EC9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AL" sheetId="1" r:id="rId1"/>
    <sheet name="JAWABAN" sheetId="2" r:id="rId2"/>
  </sheets>
  <definedNames>
    <definedName name="TABELASURANSI" localSheetId="1">JAWABAN!$G$16:$I$17</definedName>
    <definedName name="TABELASURANSI">SOAL!$G$16:$I$17</definedName>
    <definedName name="TABELGAJI" localSheetId="1">JAWABAN!$A$17:$E$20</definedName>
    <definedName name="TABELGAJI">SOAL!$A$17:$E$20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I12" i="1"/>
  <c r="J12" i="1"/>
  <c r="G12" i="1"/>
  <c r="J8" i="1"/>
  <c r="J9" i="1"/>
  <c r="J10" i="1"/>
  <c r="J11" i="1"/>
  <c r="J7" i="1"/>
  <c r="I8" i="1"/>
  <c r="I9" i="1"/>
  <c r="I10" i="1"/>
  <c r="I11" i="1"/>
  <c r="I7" i="1"/>
  <c r="H8" i="1"/>
  <c r="H9" i="1"/>
  <c r="H10" i="1"/>
  <c r="H11" i="1"/>
  <c r="H7" i="1"/>
  <c r="G8" i="1"/>
  <c r="G9" i="1"/>
  <c r="G10" i="1"/>
  <c r="G11" i="1"/>
  <c r="G7" i="1"/>
  <c r="F8" i="1"/>
  <c r="F9" i="1"/>
  <c r="F10" i="1"/>
  <c r="F11" i="1"/>
  <c r="F7" i="1"/>
  <c r="E8" i="1"/>
  <c r="E9" i="1"/>
  <c r="E10" i="1"/>
  <c r="E11" i="1"/>
  <c r="E7" i="1"/>
  <c r="D8" i="1"/>
  <c r="D9" i="1"/>
  <c r="D10" i="1"/>
  <c r="D11" i="1"/>
  <c r="D7" i="1"/>
  <c r="J12" i="2"/>
  <c r="I12" i="2"/>
  <c r="H12" i="2"/>
  <c r="G12" i="2"/>
  <c r="J11" i="2"/>
  <c r="I11" i="2"/>
  <c r="H11" i="2"/>
  <c r="G11" i="2"/>
  <c r="F11" i="2"/>
  <c r="E11" i="2"/>
  <c r="D11" i="2"/>
  <c r="J10" i="2"/>
  <c r="I10" i="2"/>
  <c r="H10" i="2"/>
  <c r="G10" i="2"/>
  <c r="F10" i="2"/>
  <c r="E10" i="2"/>
  <c r="D10" i="2"/>
  <c r="J9" i="2"/>
  <c r="I9" i="2"/>
  <c r="H9" i="2"/>
  <c r="G9" i="2"/>
  <c r="F9" i="2"/>
  <c r="E9" i="2"/>
  <c r="D9" i="2"/>
  <c r="J8" i="2"/>
  <c r="I8" i="2"/>
  <c r="H8" i="2"/>
  <c r="G8" i="2"/>
  <c r="F8" i="2"/>
  <c r="E8" i="2"/>
  <c r="D8" i="2"/>
  <c r="J7" i="2"/>
  <c r="I7" i="2"/>
  <c r="H7" i="2"/>
  <c r="G7" i="2"/>
  <c r="F7" i="2"/>
  <c r="E7" i="2"/>
  <c r="D7" i="2"/>
</calcChain>
</file>

<file path=xl/sharedStrings.xml><?xml version="1.0" encoding="utf-8"?>
<sst xmlns="http://schemas.openxmlformats.org/spreadsheetml/2006/main" count="120" uniqueCount="51">
  <si>
    <t>DAFTAR GAJI KARYAWAN</t>
  </si>
  <si>
    <t>PT. INDAH SEJAHTERA ABADI</t>
  </si>
  <si>
    <t>JANUARI 2025</t>
  </si>
  <si>
    <t xml:space="preserve">NO </t>
  </si>
  <si>
    <t>NAMA</t>
  </si>
  <si>
    <t>ID KARYAWAN</t>
  </si>
  <si>
    <t>JABATAN</t>
  </si>
  <si>
    <t>STATUS</t>
  </si>
  <si>
    <t>TAHUN MASUK</t>
  </si>
  <si>
    <t>GAJI POKOK</t>
  </si>
  <si>
    <t>TUNJANGAN</t>
  </si>
  <si>
    <t>POTONGAN</t>
  </si>
  <si>
    <t>GAJI BERSIH</t>
  </si>
  <si>
    <t>Alafia Lanny</t>
  </si>
  <si>
    <t>DR-K1.1995012</t>
  </si>
  <si>
    <t>Budhi Setyo</t>
  </si>
  <si>
    <t>TK-K2.2002003</t>
  </si>
  <si>
    <t>Cindy Damayanthy</t>
  </si>
  <si>
    <t>MJ-K1.1997021</t>
  </si>
  <si>
    <t>Denny Damia</t>
  </si>
  <si>
    <t>TK-B3.2000205</t>
  </si>
  <si>
    <t>Elsa Kamila</t>
  </si>
  <si>
    <t>AD-K2.1999312</t>
  </si>
  <si>
    <t>J U M L A H</t>
  </si>
  <si>
    <t>I. TABEL GAJI &amp; TUNJANGAN</t>
  </si>
  <si>
    <t>II. TABEL POTONGAN ASURANSI</t>
  </si>
  <si>
    <t>KODE</t>
  </si>
  <si>
    <t>TARIF PER KELAS</t>
  </si>
  <si>
    <t>KAWIN (K)</t>
  </si>
  <si>
    <t>BELUM (B)</t>
  </si>
  <si>
    <t>1</t>
  </si>
  <si>
    <t>2</t>
  </si>
  <si>
    <t>3</t>
  </si>
  <si>
    <t>TK</t>
  </si>
  <si>
    <t>Teknisi</t>
  </si>
  <si>
    <t>AD</t>
  </si>
  <si>
    <t>Administrasi</t>
  </si>
  <si>
    <t>MJ</t>
  </si>
  <si>
    <t>Manajemen</t>
  </si>
  <si>
    <t>DR</t>
  </si>
  <si>
    <t>Direktur</t>
  </si>
  <si>
    <t>Diisi dengan mengambil referensi pada tabel gaji berdasarkan kode JABATAN pada ID KARYAWAN</t>
  </si>
  <si>
    <t>Diisi dengan "Kawin" atau "Belum Kawin" berdasarkan kode STATUS (karakter ke-4) pada ID KARYAWAN</t>
  </si>
  <si>
    <t>Diisi dengan mengambil 4 karakter setelah "." pada ID KARYAWAN</t>
  </si>
  <si>
    <t>Diisi dengan mengambil referensi dari tabel gaji, berdasarkan kode JABATAN pada ID KARYAWAN</t>
  </si>
  <si>
    <t>Diisi dengan mengambil referensi dari tabel gaji, berdasarkan kode JABATAN dan kode STATUS pada ID KARYAWAN</t>
  </si>
  <si>
    <t>Diisi dengan mengambil referensi dari tabel potongan asuransi, berdasarkan kode KELAS pada ID KARYAWAN</t>
  </si>
  <si>
    <t>Diisi dengan penjumlahan dari GAJI POKOK ditambah TUNJANGAN dikurangi POTONGAN</t>
  </si>
  <si>
    <t>JUMLAH</t>
  </si>
  <si>
    <t>Diisi dengan jumlah nilai dari atas sampai bawah pada setiap kolom</t>
  </si>
  <si>
    <t>TK-B3.2000203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</si>
</sst>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7" formatCode="_-&quot;Rp&quot;* #,##0_-;\-&quot;Rp&quot;* #,##0_-;_-&quot;Rp&quot;* &quot;-&quot;_-;_-@"/>
    <numFmt numFmtId="168" formatCode="@\ * &quot;:&quot;"/>
    <numFmt numFmtId="169" formatCode="&quot;Rp&quot;#,##0.00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b/>
      <u/>
      <sz val="20"/>
      <color rgb="FFFF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167" fontId="3" fillId="0" borderId="5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7" fontId="3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8" fontId="1" fillId="0" borderId="15" xfId="0" applyNumberFormat="1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168" fontId="1" fillId="0" borderId="17" xfId="0" applyNumberFormat="1" applyFont="1" applyBorder="1" applyAlignment="1">
      <alignment vertical="center"/>
    </xf>
    <xf numFmtId="168" fontId="1" fillId="0" borderId="18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7" fontId="3" fillId="0" borderId="5" xfId="0" applyNumberFormat="1" applyFont="1" applyBorder="1" applyAlignment="1">
      <alignment horizontal="left" vertical="center"/>
    </xf>
    <xf numFmtId="167" fontId="3" fillId="0" borderId="2" xfId="0" applyNumberFormat="1" applyFont="1" applyBorder="1"/>
    <xf numFmtId="0" fontId="1" fillId="0" borderId="0" xfId="0" applyFont="1" applyAlignment="1">
      <alignment horizontal="left" vertical="center"/>
    </xf>
    <xf numFmtId="169" fontId="3" fillId="0" borderId="5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67" fontId="3" fillId="0" borderId="7" xfId="0" applyNumberFormat="1" applyFont="1" applyBorder="1" applyAlignment="1">
      <alignment horizontal="left" vertical="center"/>
    </xf>
    <xf numFmtId="167" fontId="3" fillId="0" borderId="6" xfId="0" applyNumberFormat="1" applyFont="1" applyBorder="1"/>
    <xf numFmtId="167" fontId="1" fillId="0" borderId="0" xfId="0" applyNumberFormat="1" applyFont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7" fontId="1" fillId="3" borderId="5" xfId="0" applyNumberFormat="1" applyFont="1" applyFill="1" applyBorder="1" applyAlignment="1">
      <alignment vertical="center"/>
    </xf>
    <xf numFmtId="14" fontId="3" fillId="0" borderId="0" xfId="0" applyNumberFormat="1" applyFont="1" applyAlignment="1">
      <alignment vertical="center"/>
    </xf>
    <xf numFmtId="49" fontId="1" fillId="4" borderId="5" xfId="0" quotePrefix="1" applyNumberFormat="1" applyFont="1" applyFill="1" applyBorder="1" applyAlignment="1">
      <alignment horizontal="center" vertical="center"/>
    </xf>
    <xf numFmtId="0" fontId="1" fillId="4" borderId="5" xfId="0" quotePrefix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1" fillId="3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1" xfId="0" applyFont="1" applyBorder="1"/>
    <xf numFmtId="0" fontId="1" fillId="2" borderId="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1" fillId="2" borderId="10" xfId="0" applyFont="1" applyFill="1" applyBorder="1" applyAlignment="1">
      <alignment horizontal="center" vertical="center"/>
    </xf>
    <xf numFmtId="0" fontId="2" fillId="0" borderId="12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14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1/sharedlinks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81" zoomScaleNormal="81" workbookViewId="0">
      <selection activeCell="G12" sqref="G12:J12"/>
    </sheetView>
  </sheetViews>
  <sheetFormatPr defaultColWidth="14.44140625" defaultRowHeight="15" customHeight="1"/>
  <cols>
    <col min="1" max="1" width="5.88671875" customWidth="1"/>
    <col min="2" max="2" width="17.6640625" customWidth="1"/>
    <col min="3" max="3" width="15.5546875" customWidth="1"/>
    <col min="4" max="4" width="14" customWidth="1"/>
    <col min="5" max="5" width="15" customWidth="1"/>
    <col min="6" max="6" width="13.5546875" customWidth="1"/>
    <col min="7" max="10" width="15.109375" customWidth="1"/>
    <col min="11" max="11" width="9.109375" customWidth="1"/>
    <col min="12" max="14" width="23.6640625" customWidth="1"/>
    <col min="15" max="26" width="8.6640625" customWidth="1"/>
  </cols>
  <sheetData>
    <row r="1" spans="1:26" ht="14.4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1"/>
      <c r="L1" s="1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4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1"/>
      <c r="L2" s="1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4">
      <c r="A3" s="45" t="s">
        <v>2</v>
      </c>
      <c r="B3" s="46"/>
      <c r="C3" s="46"/>
      <c r="D3" s="46"/>
      <c r="E3" s="46"/>
      <c r="F3" s="46"/>
      <c r="G3" s="46"/>
      <c r="H3" s="46"/>
      <c r="I3" s="46"/>
      <c r="J3" s="46"/>
      <c r="K3" s="27"/>
      <c r="L3" s="27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4">
      <c r="A4" s="2"/>
      <c r="B4" s="2"/>
      <c r="C4" s="2"/>
      <c r="D4" s="2"/>
      <c r="E4" s="2"/>
      <c r="F4" s="2"/>
      <c r="G4" s="2"/>
      <c r="H4" s="2"/>
      <c r="I4" s="2"/>
      <c r="J4" s="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8" customHeight="1">
      <c r="A5" s="54" t="s">
        <v>3</v>
      </c>
      <c r="B5" s="54" t="s">
        <v>4</v>
      </c>
      <c r="C5" s="54" t="s">
        <v>5</v>
      </c>
      <c r="D5" s="54" t="s">
        <v>6</v>
      </c>
      <c r="E5" s="54" t="s">
        <v>7</v>
      </c>
      <c r="F5" s="58" t="s">
        <v>8</v>
      </c>
      <c r="G5" s="58" t="s">
        <v>9</v>
      </c>
      <c r="H5" s="58" t="s">
        <v>10</v>
      </c>
      <c r="I5" s="58" t="s">
        <v>11</v>
      </c>
      <c r="J5" s="58" t="s">
        <v>12</v>
      </c>
      <c r="K5" s="17"/>
      <c r="L5" s="28"/>
      <c r="M5" s="28"/>
      <c r="N5" s="28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8" customHeight="1">
      <c r="A6" s="55"/>
      <c r="B6" s="55"/>
      <c r="C6" s="55"/>
      <c r="D6" s="55"/>
      <c r="E6" s="55"/>
      <c r="F6" s="55"/>
      <c r="G6" s="55"/>
      <c r="H6" s="55"/>
      <c r="I6" s="55"/>
      <c r="J6" s="55"/>
      <c r="K6" s="17"/>
      <c r="L6" s="28"/>
      <c r="M6" s="28"/>
      <c r="N6" s="28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4">
      <c r="A7" s="3">
        <v>1</v>
      </c>
      <c r="B7" s="4" t="s">
        <v>13</v>
      </c>
      <c r="C7" s="3" t="s">
        <v>14</v>
      </c>
      <c r="D7" s="3" t="str">
        <f>VLOOKUP(LEFT(C7,2),$A$17:$B$20,2,0)</f>
        <v>Direktur</v>
      </c>
      <c r="E7" s="3" t="str">
        <f>IF(MID(C7,4,1)="K","Kawin","Belum Kawin")</f>
        <v>Kawin</v>
      </c>
      <c r="F7" s="3" t="str">
        <f>MID(C7,7,4)</f>
        <v>1995</v>
      </c>
      <c r="G7" s="23">
        <f>VLOOKUP(D7,$B$17:$E$20,4,0)</f>
        <v>4000000</v>
      </c>
      <c r="H7" s="23">
        <f>VLOOKUP(LEFT(C7,2),TABELGAJI,IF(MID(C7,4,1)="K",3,4),0)</f>
        <v>1000000</v>
      </c>
      <c r="I7" s="23">
        <f>HLOOKUP(MID(C7,5,1),TABELASURANSI,2,0)</f>
        <v>300000</v>
      </c>
      <c r="J7" s="23">
        <f>G7+H7-I7</f>
        <v>4700000</v>
      </c>
      <c r="K7" s="4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4.4">
      <c r="A8" s="5">
        <v>2</v>
      </c>
      <c r="B8" s="6" t="s">
        <v>15</v>
      </c>
      <c r="C8" s="5" t="s">
        <v>16</v>
      </c>
      <c r="D8" s="3" t="str">
        <f t="shared" ref="D8:D11" si="0">VLOOKUP(LEFT(C8,2),$A$17:$B$20,2,0)</f>
        <v>Teknisi</v>
      </c>
      <c r="E8" s="3" t="str">
        <f t="shared" ref="E8:E11" si="1">IF(MID(C8,4,1)="K","Kawin","Belum Kawin")</f>
        <v>Kawin</v>
      </c>
      <c r="F8" s="3" t="str">
        <f t="shared" ref="F8:F11" si="2">MID(C8,7,4)</f>
        <v>2002</v>
      </c>
      <c r="G8" s="23">
        <f t="shared" ref="G8:G11" si="3">VLOOKUP(D8,$B$17:$E$20,4,0)</f>
        <v>2750000</v>
      </c>
      <c r="H8" s="23">
        <f>VLOOKUP(LEFT(C8,2),TABELGAJI,IF(MID(C8,4,1)="K",3,4),0)</f>
        <v>250000</v>
      </c>
      <c r="I8" s="23">
        <f>HLOOKUP(MID(C8,5,1),TABELASURANSI,2,0)</f>
        <v>200000</v>
      </c>
      <c r="J8" s="23">
        <f t="shared" ref="J8:J12" si="4">G8+H8-I8</f>
        <v>2800000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4.4">
      <c r="A9" s="5">
        <v>3</v>
      </c>
      <c r="B9" s="6" t="s">
        <v>17</v>
      </c>
      <c r="C9" s="5" t="s">
        <v>18</v>
      </c>
      <c r="D9" s="3" t="str">
        <f t="shared" si="0"/>
        <v>Manajemen</v>
      </c>
      <c r="E9" s="3" t="str">
        <f t="shared" si="1"/>
        <v>Kawin</v>
      </c>
      <c r="F9" s="3" t="str">
        <f t="shared" si="2"/>
        <v>1997</v>
      </c>
      <c r="G9" s="23">
        <f t="shared" si="3"/>
        <v>3500000</v>
      </c>
      <c r="H9" s="23">
        <f>VLOOKUP(LEFT(C9,2),TABELGAJI,IF(MID(C9,4,1)="K",3,4),0)</f>
        <v>750000</v>
      </c>
      <c r="I9" s="23">
        <f>HLOOKUP(MID(C9,5,1),TABELASURANSI,2,0)</f>
        <v>300000</v>
      </c>
      <c r="J9" s="23">
        <f t="shared" si="4"/>
        <v>3950000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4">
      <c r="A10" s="5">
        <v>4</v>
      </c>
      <c r="B10" s="6" t="s">
        <v>19</v>
      </c>
      <c r="C10" s="5" t="s">
        <v>20</v>
      </c>
      <c r="D10" s="3" t="str">
        <f t="shared" si="0"/>
        <v>Teknisi</v>
      </c>
      <c r="E10" s="3" t="str">
        <f t="shared" si="1"/>
        <v>Belum Kawin</v>
      </c>
      <c r="F10" s="3" t="str">
        <f t="shared" si="2"/>
        <v>2000</v>
      </c>
      <c r="G10" s="23">
        <f t="shared" si="3"/>
        <v>2750000</v>
      </c>
      <c r="H10" s="23">
        <f>VLOOKUP(LEFT(C10,2),TABELGAJI,IF(MID(C10,4,1)="K",3,4),0)</f>
        <v>150000</v>
      </c>
      <c r="I10" s="23">
        <f>HLOOKUP(MID(C10,5,1),TABELASURANSI,2,0)</f>
        <v>100000</v>
      </c>
      <c r="J10" s="23">
        <f t="shared" si="4"/>
        <v>2800000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4">
      <c r="A11" s="35">
        <v>5</v>
      </c>
      <c r="B11" s="36" t="s">
        <v>21</v>
      </c>
      <c r="C11" s="35" t="s">
        <v>22</v>
      </c>
      <c r="D11" s="3" t="str">
        <f t="shared" si="0"/>
        <v>Administrasi</v>
      </c>
      <c r="E11" s="3" t="str">
        <f t="shared" si="1"/>
        <v>Kawin</v>
      </c>
      <c r="F11" s="3" t="str">
        <f t="shared" si="2"/>
        <v>1999</v>
      </c>
      <c r="G11" s="23">
        <f t="shared" si="3"/>
        <v>3000000</v>
      </c>
      <c r="H11" s="23">
        <f>VLOOKUP(LEFT(C11,2),TABELGAJI,IF(MID(C11,4,1)="K",3,4),0)</f>
        <v>500000</v>
      </c>
      <c r="I11" s="23">
        <f>HLOOKUP(MID(C11,5,1),TABELASURANSI,2,0)</f>
        <v>200000</v>
      </c>
      <c r="J11" s="23">
        <f t="shared" si="4"/>
        <v>3300000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4.4">
      <c r="A12" s="59" t="s">
        <v>23</v>
      </c>
      <c r="B12" s="60"/>
      <c r="C12" s="60"/>
      <c r="D12" s="60"/>
      <c r="E12" s="60"/>
      <c r="F12" s="61"/>
      <c r="G12" s="39">
        <f>SUM(G7:G11)</f>
        <v>16000000</v>
      </c>
      <c r="H12" s="39">
        <f t="shared" ref="H12:J12" si="5">SUM(H7:H11)</f>
        <v>2650000</v>
      </c>
      <c r="I12" s="39">
        <f t="shared" si="5"/>
        <v>1100000</v>
      </c>
      <c r="J12" s="39">
        <f t="shared" si="5"/>
        <v>17550000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4">
      <c r="A14" s="11" t="s">
        <v>24</v>
      </c>
      <c r="B14" s="10"/>
      <c r="C14" s="10"/>
      <c r="D14" s="10"/>
      <c r="E14" s="10"/>
      <c r="F14" s="10"/>
      <c r="G14" s="25" t="s">
        <v>25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4">
      <c r="A15" s="54" t="s">
        <v>26</v>
      </c>
      <c r="B15" s="54" t="s">
        <v>6</v>
      </c>
      <c r="C15" s="50" t="s">
        <v>10</v>
      </c>
      <c r="D15" s="49"/>
      <c r="E15" s="58" t="s">
        <v>9</v>
      </c>
      <c r="F15" s="10"/>
      <c r="G15" s="51" t="s">
        <v>27</v>
      </c>
      <c r="H15" s="52"/>
      <c r="I15" s="53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4">
      <c r="A16" s="55"/>
      <c r="B16" s="55"/>
      <c r="C16" s="12" t="s">
        <v>28</v>
      </c>
      <c r="D16" s="12" t="s">
        <v>29</v>
      </c>
      <c r="E16" s="55"/>
      <c r="F16" s="10"/>
      <c r="G16" s="41" t="s">
        <v>30</v>
      </c>
      <c r="H16" s="41" t="s">
        <v>31</v>
      </c>
      <c r="I16" s="41" t="s">
        <v>32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4">
      <c r="A17" s="3" t="s">
        <v>33</v>
      </c>
      <c r="B17" s="37" t="s">
        <v>34</v>
      </c>
      <c r="C17" s="14">
        <v>250000</v>
      </c>
      <c r="D17" s="14">
        <v>150000</v>
      </c>
      <c r="E17" s="14">
        <v>2750000</v>
      </c>
      <c r="F17" s="10"/>
      <c r="G17" s="14">
        <v>300000</v>
      </c>
      <c r="H17" s="14">
        <v>200000</v>
      </c>
      <c r="I17" s="14">
        <v>100000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4">
      <c r="A18" s="5" t="s">
        <v>35</v>
      </c>
      <c r="B18" s="38" t="s">
        <v>36</v>
      </c>
      <c r="C18" s="16">
        <v>500000</v>
      </c>
      <c r="D18" s="16">
        <v>300000</v>
      </c>
      <c r="E18" s="16">
        <v>3000000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4">
      <c r="A19" s="5" t="s">
        <v>37</v>
      </c>
      <c r="B19" s="38" t="s">
        <v>38</v>
      </c>
      <c r="C19" s="16">
        <v>750000</v>
      </c>
      <c r="D19" s="16">
        <v>450000</v>
      </c>
      <c r="E19" s="16">
        <v>3500000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4">
      <c r="A20" s="5" t="s">
        <v>39</v>
      </c>
      <c r="B20" s="38" t="s">
        <v>40</v>
      </c>
      <c r="C20" s="16">
        <v>1000000</v>
      </c>
      <c r="D20" s="16">
        <v>600000</v>
      </c>
      <c r="E20" s="16">
        <v>4000000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10"/>
      <c r="B22" s="18" t="s">
        <v>6</v>
      </c>
      <c r="C22" s="19" t="s">
        <v>41</v>
      </c>
      <c r="D22" s="19"/>
      <c r="E22" s="19"/>
      <c r="F22" s="19"/>
      <c r="G22" s="19"/>
      <c r="H22" s="19"/>
      <c r="I22" s="32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17"/>
      <c r="B23" s="20" t="s">
        <v>7</v>
      </c>
      <c r="C23" s="10" t="s">
        <v>42</v>
      </c>
      <c r="D23" s="10"/>
      <c r="E23" s="10"/>
      <c r="F23" s="10"/>
      <c r="G23" s="10"/>
      <c r="H23" s="10"/>
      <c r="I23" s="33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17"/>
      <c r="B24" s="20" t="s">
        <v>8</v>
      </c>
      <c r="C24" s="10" t="s">
        <v>43</v>
      </c>
      <c r="D24" s="10"/>
      <c r="E24" s="10"/>
      <c r="F24" s="10"/>
      <c r="G24" s="10"/>
      <c r="H24" s="10"/>
      <c r="I24" s="33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17"/>
      <c r="B25" s="20" t="s">
        <v>9</v>
      </c>
      <c r="C25" s="10" t="s">
        <v>44</v>
      </c>
      <c r="D25" s="10"/>
      <c r="E25" s="10"/>
      <c r="F25" s="10"/>
      <c r="G25" s="10"/>
      <c r="H25" s="10"/>
      <c r="I25" s="33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17"/>
      <c r="B26" s="20" t="s">
        <v>10</v>
      </c>
      <c r="C26" s="10" t="s">
        <v>45</v>
      </c>
      <c r="D26" s="10"/>
      <c r="E26" s="10"/>
      <c r="F26" s="10"/>
      <c r="G26" s="10"/>
      <c r="H26" s="10"/>
      <c r="I26" s="33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10"/>
      <c r="B27" s="20" t="s">
        <v>11</v>
      </c>
      <c r="C27" s="10" t="s">
        <v>46</v>
      </c>
      <c r="D27" s="10"/>
      <c r="E27" s="10"/>
      <c r="F27" s="10"/>
      <c r="G27" s="10"/>
      <c r="H27" s="10"/>
      <c r="I27" s="33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10"/>
      <c r="B28" s="20" t="s">
        <v>12</v>
      </c>
      <c r="C28" s="10" t="s">
        <v>47</v>
      </c>
      <c r="D28" s="10"/>
      <c r="E28" s="10"/>
      <c r="F28" s="10"/>
      <c r="G28" s="10"/>
      <c r="H28" s="10"/>
      <c r="I28" s="33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10"/>
      <c r="B29" s="21" t="s">
        <v>48</v>
      </c>
      <c r="C29" s="22" t="s">
        <v>49</v>
      </c>
      <c r="D29" s="22"/>
      <c r="E29" s="22"/>
      <c r="F29" s="22"/>
      <c r="G29" s="22"/>
      <c r="H29" s="22"/>
      <c r="I29" s="34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H5:H6"/>
    <mergeCell ref="I5:I6"/>
    <mergeCell ref="J5:J6"/>
    <mergeCell ref="A1:J1"/>
    <mergeCell ref="A2:J2"/>
    <mergeCell ref="A3:J3"/>
    <mergeCell ref="A12:F12"/>
    <mergeCell ref="C15:D15"/>
    <mergeCell ref="G15:I15"/>
    <mergeCell ref="A5:A6"/>
    <mergeCell ref="A15:A16"/>
    <mergeCell ref="B5:B6"/>
    <mergeCell ref="B15:B16"/>
    <mergeCell ref="C5:C6"/>
    <mergeCell ref="D5:D6"/>
    <mergeCell ref="E5:E6"/>
    <mergeCell ref="E15:E16"/>
    <mergeCell ref="F5:F6"/>
    <mergeCell ref="G5:G6"/>
  </mergeCells>
  <pageMargins left="0.7" right="0.7" top="0.75" bottom="0.75" header="0" footer="0"/>
  <pageSetup paperSize="9" scale="6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opLeftCell="E1" zoomScale="66" zoomScaleNormal="66" workbookViewId="0">
      <selection activeCell="M21" sqref="M21"/>
    </sheetView>
  </sheetViews>
  <sheetFormatPr defaultColWidth="14.44140625" defaultRowHeight="15" customHeight="1"/>
  <cols>
    <col min="1" max="1" width="5.88671875" customWidth="1"/>
    <col min="2" max="3" width="20.88671875" customWidth="1"/>
    <col min="4" max="4" width="17.6640625" customWidth="1"/>
    <col min="5" max="5" width="15.5546875" customWidth="1"/>
    <col min="6" max="6" width="14" customWidth="1"/>
    <col min="7" max="7" width="15" customWidth="1"/>
    <col min="8" max="8" width="14.6640625" customWidth="1"/>
    <col min="9" max="10" width="15.109375" customWidth="1"/>
    <col min="11" max="11" width="6.6640625" customWidth="1"/>
    <col min="12" max="14" width="22.44140625" customWidth="1"/>
    <col min="15" max="27" width="8.6640625" customWidth="1"/>
  </cols>
  <sheetData>
    <row r="1" spans="1:27" ht="14.4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1"/>
      <c r="L1" s="1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4.4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1"/>
      <c r="L2" s="1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4.4">
      <c r="A3" s="45" t="s">
        <v>2</v>
      </c>
      <c r="B3" s="46"/>
      <c r="C3" s="46"/>
      <c r="D3" s="46"/>
      <c r="E3" s="46"/>
      <c r="F3" s="46"/>
      <c r="G3" s="46"/>
      <c r="H3" s="46"/>
      <c r="I3" s="46"/>
      <c r="J3" s="46"/>
      <c r="K3" s="27"/>
      <c r="L3" s="27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4.4">
      <c r="A4" s="2"/>
      <c r="B4" s="2"/>
      <c r="C4" s="2"/>
      <c r="D4" s="2"/>
      <c r="E4" s="2"/>
      <c r="F4" s="2"/>
      <c r="G4" s="2"/>
      <c r="H4" s="2"/>
      <c r="I4" s="2"/>
      <c r="J4" s="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8" customHeight="1">
      <c r="A5" s="54" t="s">
        <v>3</v>
      </c>
      <c r="B5" s="54" t="s">
        <v>4</v>
      </c>
      <c r="C5" s="54" t="s">
        <v>5</v>
      </c>
      <c r="D5" s="54" t="s">
        <v>6</v>
      </c>
      <c r="E5" s="54" t="s">
        <v>7</v>
      </c>
      <c r="F5" s="58" t="s">
        <v>8</v>
      </c>
      <c r="G5" s="58" t="s">
        <v>9</v>
      </c>
      <c r="H5" s="58" t="s">
        <v>10</v>
      </c>
      <c r="I5" s="58" t="s">
        <v>11</v>
      </c>
      <c r="J5" s="58" t="s">
        <v>12</v>
      </c>
      <c r="K5" s="17"/>
      <c r="L5" s="28"/>
      <c r="M5" s="28"/>
      <c r="N5" s="28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18" customHeight="1">
      <c r="A6" s="55"/>
      <c r="B6" s="55"/>
      <c r="C6" s="55"/>
      <c r="D6" s="55"/>
      <c r="E6" s="55"/>
      <c r="F6" s="55"/>
      <c r="G6" s="55"/>
      <c r="H6" s="55"/>
      <c r="I6" s="55"/>
      <c r="J6" s="55"/>
      <c r="K6" s="17"/>
      <c r="L6" s="28"/>
      <c r="M6" s="28"/>
      <c r="N6" s="28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ht="14.4">
      <c r="A7" s="3">
        <v>1</v>
      </c>
      <c r="B7" s="4" t="s">
        <v>13</v>
      </c>
      <c r="C7" s="3" t="s">
        <v>14</v>
      </c>
      <c r="D7" s="3" t="str">
        <f t="shared" ref="D7:D11" si="0">VLOOKUP(LEFT(C7,2),$A$17:$B$20,2,0)</f>
        <v>Direktur</v>
      </c>
      <c r="E7" s="3" t="str">
        <f t="shared" ref="E7:E11" si="1">IF(MID(C7,4,1)="K","KAWIN","BELUM")</f>
        <v>KAWIN</v>
      </c>
      <c r="F7" s="3" t="str">
        <f t="shared" ref="F7:F11" si="2">MID(C7,7,4)</f>
        <v>1995</v>
      </c>
      <c r="G7" s="23">
        <f t="shared" ref="G7:G11" si="3">VLOOKUP(D7,$B$17:$E$20,4,0)</f>
        <v>4000000</v>
      </c>
      <c r="H7" s="23">
        <f>VLOOKUP(LEFT(C7,2),JAWABAN!TABELGAJI,IF(MID(C7,4,1)="K",3,4),0)</f>
        <v>1000000</v>
      </c>
      <c r="I7" s="23">
        <f>HLOOKUP(MID(C7,5,1),JAWABAN!TABELASURANSI,2,0)</f>
        <v>300000</v>
      </c>
      <c r="J7" s="23">
        <f t="shared" ref="J7:J11" si="4">G7+H7-I7</f>
        <v>4700000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4.4">
      <c r="A8" s="5">
        <v>2</v>
      </c>
      <c r="B8" s="6" t="s">
        <v>15</v>
      </c>
      <c r="C8" s="5" t="s">
        <v>16</v>
      </c>
      <c r="D8" s="3" t="str">
        <f t="shared" si="0"/>
        <v>Teknisi</v>
      </c>
      <c r="E8" s="3" t="str">
        <f t="shared" si="1"/>
        <v>KAWIN</v>
      </c>
      <c r="F8" s="3" t="str">
        <f t="shared" si="2"/>
        <v>2002</v>
      </c>
      <c r="G8" s="23">
        <f t="shared" si="3"/>
        <v>2750000</v>
      </c>
      <c r="H8" s="23">
        <f>VLOOKUP(LEFT(C8,2),JAWABAN!TABELGAJI,IF(MID(C8,4,1)="K",3,4),0)</f>
        <v>250000</v>
      </c>
      <c r="I8" s="23">
        <f>HLOOKUP(MID(C8,5,1),JAWABAN!TABELASURANSI,2,0)</f>
        <v>200000</v>
      </c>
      <c r="J8" s="23">
        <f t="shared" si="4"/>
        <v>2800000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4.4">
      <c r="A9" s="5">
        <v>3</v>
      </c>
      <c r="B9" s="6" t="s">
        <v>17</v>
      </c>
      <c r="C9" s="5" t="s">
        <v>18</v>
      </c>
      <c r="D9" s="3" t="str">
        <f t="shared" si="0"/>
        <v>Manajemen</v>
      </c>
      <c r="E9" s="3" t="str">
        <f t="shared" si="1"/>
        <v>KAWIN</v>
      </c>
      <c r="F9" s="3" t="str">
        <f t="shared" si="2"/>
        <v>1997</v>
      </c>
      <c r="G9" s="23">
        <f t="shared" si="3"/>
        <v>3500000</v>
      </c>
      <c r="H9" s="23">
        <f>VLOOKUP(LEFT(C9,2),JAWABAN!TABELGAJI,IF(MID(C9,4,1)="K",3,4),0)</f>
        <v>750000</v>
      </c>
      <c r="I9" s="23">
        <f>HLOOKUP(MID(C9,5,1),JAWABAN!TABELASURANSI,2,0)</f>
        <v>300000</v>
      </c>
      <c r="J9" s="23">
        <f t="shared" si="4"/>
        <v>3950000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4.4">
      <c r="A10" s="5">
        <v>4</v>
      </c>
      <c r="B10" s="6" t="s">
        <v>19</v>
      </c>
      <c r="C10" s="5" t="s">
        <v>50</v>
      </c>
      <c r="D10" s="3" t="str">
        <f t="shared" si="0"/>
        <v>Teknisi</v>
      </c>
      <c r="E10" s="3" t="str">
        <f t="shared" si="1"/>
        <v>BELUM</v>
      </c>
      <c r="F10" s="3" t="str">
        <f t="shared" si="2"/>
        <v>2000</v>
      </c>
      <c r="G10" s="23">
        <f t="shared" si="3"/>
        <v>2750000</v>
      </c>
      <c r="H10" s="23">
        <f>VLOOKUP(LEFT(C10,2),JAWABAN!TABELGAJI,IF(MID(C10,4,1)="K",3,4),0)</f>
        <v>150000</v>
      </c>
      <c r="I10" s="23">
        <f>HLOOKUP(MID(C10,5,1),JAWABAN!TABELASURANSI,2,0)</f>
        <v>100000</v>
      </c>
      <c r="J10" s="23">
        <f t="shared" si="4"/>
        <v>2800000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4.4">
      <c r="A11" s="7">
        <v>5</v>
      </c>
      <c r="B11" s="8" t="s">
        <v>21</v>
      </c>
      <c r="C11" s="7" t="s">
        <v>22</v>
      </c>
      <c r="D11" s="9" t="str">
        <f t="shared" si="0"/>
        <v>Administrasi</v>
      </c>
      <c r="E11" s="9" t="str">
        <f t="shared" si="1"/>
        <v>KAWIN</v>
      </c>
      <c r="F11" s="9" t="str">
        <f t="shared" si="2"/>
        <v>1999</v>
      </c>
      <c r="G11" s="23">
        <f t="shared" si="3"/>
        <v>3000000</v>
      </c>
      <c r="H11" s="23">
        <f>VLOOKUP(LEFT(C11,2),JAWABAN!TABELGAJI,IF(MID(C11,4,1)="K",3,4),0)</f>
        <v>500000</v>
      </c>
      <c r="I11" s="23">
        <f>HLOOKUP(MID(C11,5,1),JAWABAN!TABELASURANSI,2,0)</f>
        <v>200000</v>
      </c>
      <c r="J11" s="29">
        <f t="shared" si="4"/>
        <v>3300000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4.4">
      <c r="A12" s="47" t="s">
        <v>23</v>
      </c>
      <c r="B12" s="48"/>
      <c r="C12" s="48"/>
      <c r="D12" s="48"/>
      <c r="E12" s="48"/>
      <c r="F12" s="49"/>
      <c r="G12" s="24">
        <f t="shared" ref="G12:J12" si="5">SUM(G7:G11)</f>
        <v>16000000</v>
      </c>
      <c r="H12" s="24">
        <f t="shared" si="5"/>
        <v>2650000</v>
      </c>
      <c r="I12" s="24">
        <f t="shared" si="5"/>
        <v>1100000</v>
      </c>
      <c r="J12" s="30">
        <f t="shared" si="5"/>
        <v>17550000</v>
      </c>
      <c r="K12" s="31"/>
      <c r="L12" s="31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4.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4.4">
      <c r="A14" s="11" t="s">
        <v>24</v>
      </c>
      <c r="B14" s="11"/>
      <c r="C14" s="11"/>
      <c r="D14" s="10"/>
      <c r="E14" s="10"/>
      <c r="F14" s="10"/>
      <c r="G14" s="25" t="s">
        <v>25</v>
      </c>
      <c r="H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4.4">
      <c r="A15" s="54" t="s">
        <v>26</v>
      </c>
      <c r="B15" s="56" t="s">
        <v>6</v>
      </c>
      <c r="C15" s="50" t="s">
        <v>10</v>
      </c>
      <c r="D15" s="49"/>
      <c r="E15" s="58" t="s">
        <v>9</v>
      </c>
      <c r="F15" s="10"/>
      <c r="G15" s="51" t="s">
        <v>27</v>
      </c>
      <c r="H15" s="52"/>
      <c r="I15" s="53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7" ht="14.4">
      <c r="A16" s="55"/>
      <c r="B16" s="57"/>
      <c r="C16" s="12" t="s">
        <v>28</v>
      </c>
      <c r="D16" s="12" t="s">
        <v>29</v>
      </c>
      <c r="E16" s="55"/>
      <c r="F16" s="10"/>
      <c r="G16" s="42" t="s">
        <v>30</v>
      </c>
      <c r="H16" s="42" t="s">
        <v>31</v>
      </c>
      <c r="I16" s="42" t="s">
        <v>32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7" ht="14.4">
      <c r="A17" s="3" t="s">
        <v>33</v>
      </c>
      <c r="B17" s="13" t="s">
        <v>34</v>
      </c>
      <c r="C17" s="14">
        <v>250000</v>
      </c>
      <c r="D17" s="14">
        <v>150000</v>
      </c>
      <c r="E17" s="14">
        <v>2750000</v>
      </c>
      <c r="F17" s="10"/>
      <c r="G17" s="26">
        <v>300000</v>
      </c>
      <c r="H17" s="26">
        <v>200000</v>
      </c>
      <c r="I17" s="26">
        <v>100000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7" ht="14.4">
      <c r="A18" s="5" t="s">
        <v>35</v>
      </c>
      <c r="B18" s="15" t="s">
        <v>36</v>
      </c>
      <c r="C18" s="16">
        <v>500000</v>
      </c>
      <c r="D18" s="16">
        <v>300000</v>
      </c>
      <c r="E18" s="16">
        <v>3000000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7" ht="14.4">
      <c r="A19" s="5" t="s">
        <v>37</v>
      </c>
      <c r="B19" s="15" t="s">
        <v>38</v>
      </c>
      <c r="C19" s="16">
        <v>750000</v>
      </c>
      <c r="D19" s="16">
        <v>450000</v>
      </c>
      <c r="E19" s="16">
        <v>3500000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7" ht="14.4">
      <c r="A20" s="5" t="s">
        <v>39</v>
      </c>
      <c r="B20" s="15" t="s">
        <v>40</v>
      </c>
      <c r="C20" s="16">
        <v>1000000</v>
      </c>
      <c r="D20" s="16">
        <v>600000</v>
      </c>
      <c r="E20" s="16">
        <v>4000000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7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>
      <c r="A22" s="10"/>
      <c r="B22" s="10"/>
      <c r="C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>
      <c r="A23" s="17"/>
      <c r="B23" s="18" t="s">
        <v>6</v>
      </c>
      <c r="C23" s="19" t="s">
        <v>41</v>
      </c>
      <c r="D23" s="19"/>
      <c r="E23" s="19"/>
      <c r="F23" s="19"/>
      <c r="G23" s="19"/>
      <c r="H23" s="19"/>
      <c r="I23" s="32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>
      <c r="A24" s="17"/>
      <c r="B24" s="20" t="s">
        <v>7</v>
      </c>
      <c r="C24" s="10" t="s">
        <v>42</v>
      </c>
      <c r="D24" s="10"/>
      <c r="E24" s="10"/>
      <c r="F24" s="10"/>
      <c r="G24" s="10"/>
      <c r="H24" s="10"/>
      <c r="I24" s="33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>
      <c r="A25" s="17"/>
      <c r="B25" s="20" t="s">
        <v>8</v>
      </c>
      <c r="C25" s="10" t="s">
        <v>43</v>
      </c>
      <c r="D25" s="10"/>
      <c r="E25" s="10"/>
      <c r="F25" s="10"/>
      <c r="G25" s="10"/>
      <c r="H25" s="10"/>
      <c r="I25" s="33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5.75" customHeight="1">
      <c r="A26" s="17"/>
      <c r="B26" s="20" t="s">
        <v>9</v>
      </c>
      <c r="C26" s="10" t="s">
        <v>44</v>
      </c>
      <c r="D26" s="10"/>
      <c r="E26" s="10"/>
      <c r="F26" s="10"/>
      <c r="G26" s="10"/>
      <c r="H26" s="10"/>
      <c r="I26" s="33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>
      <c r="A27" s="10"/>
      <c r="B27" s="20" t="s">
        <v>10</v>
      </c>
      <c r="C27" s="10" t="s">
        <v>45</v>
      </c>
      <c r="D27" s="10"/>
      <c r="E27" s="10"/>
      <c r="F27" s="10"/>
      <c r="G27" s="10"/>
      <c r="H27" s="10"/>
      <c r="I27" s="33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5.75" customHeight="1">
      <c r="A28" s="10"/>
      <c r="B28" s="20" t="s">
        <v>11</v>
      </c>
      <c r="C28" s="10" t="s">
        <v>46</v>
      </c>
      <c r="D28" s="10"/>
      <c r="E28" s="10"/>
      <c r="F28" s="10"/>
      <c r="G28" s="10"/>
      <c r="H28" s="10"/>
      <c r="I28" s="33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.75" customHeight="1">
      <c r="A29" s="10"/>
      <c r="B29" s="20" t="s">
        <v>12</v>
      </c>
      <c r="C29" s="10" t="s">
        <v>47</v>
      </c>
      <c r="D29" s="10"/>
      <c r="E29" s="10"/>
      <c r="F29" s="10"/>
      <c r="G29" s="10"/>
      <c r="H29" s="10"/>
      <c r="I29" s="33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5.75" customHeight="1">
      <c r="A30" s="10"/>
      <c r="B30" s="21" t="s">
        <v>48</v>
      </c>
      <c r="C30" s="22" t="s">
        <v>49</v>
      </c>
      <c r="D30" s="22"/>
      <c r="E30" s="22"/>
      <c r="F30" s="22"/>
      <c r="G30" s="22"/>
      <c r="H30" s="22"/>
      <c r="I30" s="34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/>
    <row r="232" spans="1:27" ht="15.75" customHeight="1"/>
    <row r="233" spans="1:27" ht="15.75" customHeight="1"/>
    <row r="234" spans="1:27" ht="15.75" customHeight="1"/>
    <row r="235" spans="1:27" ht="15.75" customHeight="1"/>
    <row r="236" spans="1:27" ht="15.75" customHeight="1"/>
    <row r="237" spans="1:27" ht="15.75" customHeight="1"/>
    <row r="238" spans="1:27" ht="15.75" customHeight="1"/>
    <row r="239" spans="1:27" ht="15.75" customHeight="1"/>
    <row r="240" spans="1:2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H5:H6"/>
    <mergeCell ref="I5:I6"/>
    <mergeCell ref="J5:J6"/>
    <mergeCell ref="A1:J1"/>
    <mergeCell ref="A2:J2"/>
    <mergeCell ref="A3:J3"/>
    <mergeCell ref="A12:F12"/>
    <mergeCell ref="C15:D15"/>
    <mergeCell ref="G15:I15"/>
    <mergeCell ref="A5:A6"/>
    <mergeCell ref="A15:A16"/>
    <mergeCell ref="B5:B6"/>
    <mergeCell ref="B15:B16"/>
    <mergeCell ref="C5:C6"/>
    <mergeCell ref="D5:D6"/>
    <mergeCell ref="E5:E6"/>
    <mergeCell ref="E15:E16"/>
    <mergeCell ref="F5:F6"/>
    <mergeCell ref="G5:G6"/>
  </mergeCells>
  <pageMargins left="0.7" right="0.7" top="0.75" bottom="0.75" header="0" footer="0"/>
  <pageSetup paperSize="9" scale="6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SOAL</vt:lpstr>
      <vt:lpstr>JAWABAN</vt:lpstr>
      <vt:lpstr>JAWABAN!TABELASURANSI</vt:lpstr>
      <vt:lpstr>TABELASURANSI</vt:lpstr>
      <vt:lpstr>JAWABAN!TABELGAJI</vt:lpstr>
      <vt:lpstr>TABELGAJI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ASPIRE</cp:lastModifiedBy>
  <dcterms:created xsi:type="dcterms:W3CDTF">2026-04-16T10:58:59Z</dcterms:created>
  <dcterms:modified xsi:type="dcterms:W3CDTF">2026-09-18T01:22:26Z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515C4641DA43297A9D50E069635E9299_43</vt:lpwstr>
  </property>
  <property fmtid="{D5CDD505-2E9C-101B-9397-08002B2CF9AE}" pid="3" name="KSOProductBuildVer">
    <vt:lpwstr>1033-12.8.2.22595</vt:lpwstr>
  </property>
</Properties>
</file>